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Cache/pivotCacheRecords7.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1630" activeTab="2"/>
  </bookViews>
  <sheets>
    <sheet name="all" sheetId="33" r:id="rId1"/>
    <sheet name="candidates" sheetId="34" r:id="rId2"/>
    <sheet name="ordering (selected papers)" sheetId="8" r:id="rId3"/>
    <sheet name="item type" sheetId="18" r:id="rId4"/>
    <sheet name="publication year" sheetId="6" r:id="rId5"/>
    <sheet name="publisher" sheetId="16" r:id="rId6"/>
    <sheet name="source" sheetId="15" r:id="rId7"/>
    <sheet name="domain-type" sheetId="10" r:id="rId8"/>
    <sheet name="topic" sheetId="13" r:id="rId9"/>
    <sheet name="technology" sheetId="17" r:id="rId10"/>
    <sheet name="score" sheetId="21" r:id="rId11"/>
    <sheet name="evaluation" sheetId="19" r:id="rId12"/>
    <sheet name="authors" sheetId="22" r:id="rId13"/>
    <sheet name="topic-publication year" sheetId="24" r:id="rId14"/>
    <sheet name="topic trends" sheetId="25" r:id="rId15"/>
    <sheet name="venue" sheetId="26" r:id="rId16"/>
    <sheet name="Institution-Score" sheetId="30" r:id="rId17"/>
    <sheet name="Country-Score" sheetId="31" r:id="rId18"/>
    <sheet name="All Author Data" sheetId="32" r:id="rId19"/>
  </sheets>
  <externalReferences>
    <externalReference r:id="rId27"/>
  </externalReferences>
  <definedNames>
    <definedName name="_xlnm._FilterDatabase" localSheetId="11" hidden="1">evaluation!$A$1:$N$110</definedName>
    <definedName name="_xlnm._FilterDatabase" localSheetId="15" hidden="1">venue!$D$1:$D$110</definedName>
    <definedName name="_xlnm._FilterDatabase" localSheetId="0" hidden="1">all!$A$1:$I$438</definedName>
    <definedName name="_xlnm._FilterDatabase" localSheetId="2" hidden="1">'ordering (selected papers)'!$A$1:$R$110</definedName>
  </definedNames>
  <calcPr calcId="191029"/>
  <pivotCaches>
    <pivotCache cacheId="0" r:id="rId20"/>
    <pivotCache cacheId="1" r:id="rId21"/>
    <pivotCache cacheId="2" r:id="rId22"/>
    <pivotCache cacheId="3" r:id="rId23"/>
    <pivotCache cacheId="4" r:id="rId24"/>
    <pivotCache cacheId="5" r:id="rId25"/>
    <pivotCache cacheId="6" r:id="rId2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<sst xmlns="http://schemas.openxmlformats.org/spreadsheetml/2006/main" count="10844" uniqueCount="2384">
  <si>
    <t>No</t>
  </si>
  <si>
    <t>Level</t>
  </si>
  <si>
    <t>Source</t>
  </si>
  <si>
    <t>Item Type</t>
  </si>
  <si>
    <t>Publication Year</t>
  </si>
  <si>
    <t>Selected</t>
  </si>
  <si>
    <t>Exclution Reason</t>
  </si>
  <si>
    <t>Title</t>
  </si>
  <si>
    <t>Abstract Note</t>
  </si>
  <si>
    <t>high</t>
  </si>
  <si>
    <t>IEEE Xplore</t>
  </si>
  <si>
    <t>conferencePaper</t>
  </si>
  <si>
    <t>A Modular Requirements Engineering Framework for Web-Based Toolchain Integration</t>
  </si>
  <si>
    <t>Requirements Engineering (RE) tools and more generally the whole Software Engineering toolchain follow the strong trend towards web-based interface. This allows the analyst to use their tools in a "Software as a Service" mode either from a local company server or directly in the Cloud. Such deployments also ease toolchain integration by connecting their respective API through secured web-services, possibly using specific software lifecycle interoperability standards. In this tool demonstration, we illustrate the results of the rewrite process of a major Requirements Engineering tool towards this purpose. Our tooling has the following key features: (i) it supports rich requirements models based on goal-oriented RE, (ii) it is implemented as a collaborative concept server based on Eclipse Modelling technology and (iii) it exposes a REST interface supporting model building, diagram edition, history retrieval, snapshot management, collaborative mode, user authentication and project management. The following scenarios will be demonstrated (1) collaborative edition of a shared RE model, (2) rich service composition with application lifecycle management tools and (3) easy web-component integration in third-party web interfaces.</t>
  </si>
  <si>
    <t>Engineering dependability requirements for complex systems — A new information model definition</t>
  </si>
  <si>
    <t>Requirements engineering is an important phase in a system's life cycle. It is important to perform it correctly. The increasing complexity of systems makes requirements engineering activities more difficult. In design of complex system, the system engineering is widely used. Model-driven engineering, in which models are the main artifact during system development, is an emergent approach that tries to address system complexity by the intense use of models. In this context, this paper proposes a new information model based on SysML to properly manage requirements with a special attention to dependability requirements.</t>
  </si>
  <si>
    <t>focus mismatch</t>
  </si>
  <si>
    <t>A model-based workflow from specification until validation of timing requirements in embedded software systems</t>
  </si>
  <si>
    <t>In embedded software engineering, timing requirements are among the foremost non-functional requirements that have to be fulfilled. Therefore, there are specialized tools for analyzing and validating the timing behavior in embedded software. On the other hand, Model Driven Development (MDD) is considered as the next paradigm shift to address the increasing complexity in embedded software development. Despite this paradigm shift, it is advantageous to use specialized Requirements Management (RM) tools for managing requirements. Thus, it is intuitive to perceive that a workflow for collaborating with RM, MDD and timing validation tools is very useful. Nevertheless, such a workflow is still missing. This paper addresses those gaps and proposes an approach towards an integrated workflow for managing timing requirements in RM tools, specifying them in MDD tools and their validation in tools for timing analyses.</t>
  </si>
  <si>
    <t>specific topic mismatch</t>
  </si>
  <si>
    <t>A security engineering process for systems of systems using security patterns</t>
  </si>
  <si>
    <t>The creation of secure systems of systems is a complex process. A large variety of security expertise and knowledge specific for application domains is required. This is even more important if systems of systems span different application domains. Then, security threats specific to different application-domains need to be considered. One example is integrated systems for industrial production processes that interface office domains with supply chain management systems as well as a production environment. Such integrated systems of systems can perform very efficient and economic processes. However, due to the many and different domain-specific security requirements and threats security engineering needs to support requirements specification and architecture design very early in the development process in order to ensure resilience and safety of the complete system. Working with different domains implies that properties and its functionalities are specific and the engineering process used for modeling and designing the complete system has to be able to work in this context, covering all the possibilities and allowing the use of trusted solutions that are compatible with the ones of different domains. We present in this paper a security engineering process for creating secure systems of systems that cover the necessities presented above by using a series of security artifacts that contain the domain-specific security information (in terms of security properties) and provide security solutions in the form of security patterns. These patterns contain the definition of the software/hardware elements used for providing the required solution and the information of related patterns for different domains, which provides a very helpful functionality for creating a system of systems.</t>
  </si>
  <si>
    <t>SnapMind: A framework to support consistency and validation of model-based requirements in agile development</t>
  </si>
  <si>
    <t>Two fundamental principles and values of agile methods are customer satisfaction by rapid delivery of useful software and the improvement of the communication process by continuous stakeholders' involvement. But, how to deal with customers' satisfaction and find a better visualization model at the requirements level (which stakeholders can understand and be involved) in an agile development context? Also, how this visualization model enhancement can guarantee consistency between agile requirements artefacts (e.g., user stories and domain models)? Thus, to answer these questions, this paper presents the SnapMind framework. This framework aims to make the requirements modelling process more user-centered, through the definition of a visual requirements language, based on mind maps, model-driven and domain specific language techniques. Moreover, through these techniques, the SnapMind framework focuses on support for consistency between user stories and the domain models using a model animation technique called snapshots. The framework was applied to an industrial case study to investigate its feasibility.</t>
  </si>
  <si>
    <t>A requirements engineering methodology combining models and controlled natural language</t>
  </si>
  <si>
    <t>The use of models in requirements engineering (RE) for software-intensive embedded systems is considered beneficial. The main advantages of requirements models as documentation format are that they facilitate requirements understanding and foster automatic analysis techniques. However, natural language (NL) is still the dominant documentation format for requirements specifications, particularly in the domain of embedded systems. This is due to the facts that NL-based requirements can be used within legally binding documents and are more appropriate for reviews than models. In order to bridge the gap between both of these documentation formats, this paper proposes a model-driven RE methodology that makes use of requirements models along with a controlled natural language. The methodology combines the advantages of model-based and NL-based documentation by means of a bidirectional multi-step model transformation between both documentation formats. We illustrate the approach by means of an automotive example, explain the particular steps of the model transformation, and present performance results.</t>
  </si>
  <si>
    <t>A Model-based Approach for Managing Criticality Requirements in e-Health IoT Systems</t>
  </si>
  <si>
    <t>Internet-based solutions, enhanced by Internet of Things (IoT) and Cloud computing, are constantly driving revolutionary approaches in multiple domains, including healthcare. Indicatively, telemedicine, real-time diagnosis and remote monitoring of patients, are expected to transform the healthcare domain. These systems may offer several services of different criticality, necessitating safety-/mission-critical core components and non-critical peripheral components; in other words, they are complex, mixed-criticality System-of-Systems (SoS). To understand and design such systems, engineers must be facilitated with the appropriate modeling tools. In this work, we explore the application of model-based design, using the Systems Modeling Language (SysML), of IoT e-Health systems, emphasizing criticality requirements. We focus on the Remote Elderly Monitoring System (REMS) use case, combining IoT technologies with classic healthcare practices, to demonstrate the potential of the proposed approach. Requirements comprise a basic concept of a systematic model-driven methodology that enables the successful management of the criticalities in system design, implementation and deployment. In the REMS use case, identified criticalities are modeled as SysML requirements, while SysML constraints and parametric diagrams are employed to describe and verify quantitative criticality requirements.</t>
  </si>
  <si>
    <t>A modeling approach for development of an automotive AMT ECU software with UML-RT</t>
  </si>
  <si>
    <t>Over the past decades, the amount of automotive ECUs (Electronic Control Units) is increasing at a breathtaking pace. Accordingly, the size and complexity of ECU software also increased, and these give rise to various challenges to automotive software engineers. They need a new approach and tools to meet these challenges. Model-Based development is a choice. This paper presents a model-based design approach for the development of AMT (Automated Manual Transmission) ECU software using UML-RT language in automotive domain. UML-RT is a modeling language tailored to the demands of real-time software. The paper shows the methods and process on modeling functional and architectural model using UML-RT key diagram. Conclusions are drawn on how these models helps the different developers visualize, construct, and discuss together the structure and behavior of software's architecture.</t>
  </si>
  <si>
    <t>A Conceptual Graphs Framework for Teaching UML Model-Based Requirements Acquisition</t>
  </si>
  <si>
    <t>Students that first learn multiple-viewed requirements modeling with UML diagrams tend to create incomplete and inconsistent models. Complex requirements and numerous modeling elements in UML often overwhelm students and make it hard for them to even notice such flaws in the models. Useful feedback can help students revise their UML models to be more complete. In this paper, we introduce a novel approach of teaching UML modeling and requirements acquisition. A knowledge-based framework is proposed to help reveal incompleteness and inconsistency in a set of models developed by students. This approach can drive the process of acquiring requirements for each UML model. The proposed framework is based on a central knowledge representation, the conceptual graphs.</t>
  </si>
  <si>
    <t>time out of range</t>
  </si>
  <si>
    <t>Model transformation of dependability-focused requirements models</t>
  </si>
  <si>
    <t>Recent research has focused on extending standard requirements elicitation processes to address potential abnormal situations that can interrupt normal system interaction at run-time. We proposed a process, DREP, that extends use case-driven modelling with elements that allow the modelling of system behaviour in exceptional situations. This paper discusses the challenge of using the notions of exceptional behaviour and outcomes defined in use cases within a MDE process. In order to create a more formal specification model with activity diagrams, the use cases have to be well-formed to begin with. We describe precise transformation rules to systematically create an activity diagram corresponding to each use case. Special stereotypes are introduced to document partial or degraded outcomes and handling activities. The model resulting from the transformation unambiguously specifies the system interactions required to satisfy the user, as well as exceptional interactions that can lead to degraded service provision.</t>
  </si>
  <si>
    <t>Business Process Modeling and Requirements Modeling</t>
  </si>
  <si>
    <t>Business process modeling is an important part of each software development project. No software is developed without specifying it's use within the context of business processes. Since business process modeling is an important task during requirements engineering, in our opinion the same basic modeling notions should be used. This paper gives a first proposal how this can be done.</t>
  </si>
  <si>
    <t>Improving Model Driven Architecture with Requirements Models</t>
  </si>
  <si>
    <t>Model driven architecture (MDA) is a software development framework based on automatic transformations of models. The first of these models, the computation independent model (CIM), is used to define the business system, and it is usually represented with UML models. Natural language is widely used in requirements engineering as it is generally understandable by stakeholders encouraging their participation. Therefore, in order to enhance the first stages of MDA software development, we propose to define natural language oriented requirements models and derive from them a CIM. To achieve this integration we describe in this paper an automatic process to derive a business class diagram representing the structural aspects of a CIM starting from natural language oriented models.</t>
  </si>
  <si>
    <t>Validation Support Tool to Cross-check the Behavioral Flows on a Requirements Analysis Model using the State Transition Model</t>
  </si>
  <si>
    <t>We propose a method to evaluate and improve the validity of the required specifications by comparing models from different viewpoints. Inconsistencies are automatically extracted from the model in which the analyst defines the service procedure based on the initial requirement, and automatically compared with the state transition model created by an evaluator different from the analyst from the same initial requirement. The identified inconsistencies are fed back to the analyst to improve the required specifications. We developed a tool for extraction and comparison, and discuss the effectiveness by applying the method to an example requirements specification.</t>
  </si>
  <si>
    <t>Software requirements specification database based on requirements frame model</t>
  </si>
  <si>
    <t>The author proposes a method to build a relational database of software requirements specifications (SRSs) from textual SRSs automatically. The author has been developing a requirements model called requirements frame and a text-base requirements language based on the model in order to improve the quality of SRSs. Since requirements frame can be transformed into a relational data model, each of the requirement sentences can be regarded as a tuple of a relational table. The author has been developing both a query language and a relational database management system for on SRS database. One of the features of the SRS DB system is to give an answer with a requirement sentence as an example/counter-example. This feature contributes to verification of the SRS from a developer's own viewpoint. Another feature is detecting changed requirements in modification of the SRS. This feature contributes to effective maintenance of the SRS.</t>
  </si>
  <si>
    <t>Producing a Global Requirement Model from Multiple Requirement Specifications</t>
  </si>
  <si>
    <t>collection of partial specifications produced by different stakeholders. Obtaining a global specification is a fundamental step of a requirement analysis process. Merging requirement specifications is indeed a way to reveal inconsistencies between them. We propose in this paper a model-driven mechanism for that purpose. It takes as inputs a set of texts or models which conform to input requirement languages and produces a global requirements model. This mechanism is integrated in a platform called R2A which stands for "requirements to analysis". The R2A core element is its core requirement metamodel which has been defined for capturing the global requirements model. We illustrate our approach with requirement specifications expressed in a constrained natural language. This platform and its mechanism have been completely implemented with MDE (Model Driven Engineering) technologies. As such, it is a good example of how MDE technologies can contribute to requirements engineering as a technical solution.</t>
  </si>
  <si>
    <t>Generating Requirements Analysis Models from Textual Requirements</t>
  </si>
  <si>
    <t>Use case modeling is a commonly used technique to describe functional requirements in requirements engineering. Typically, use cases are captured from textual requirements documents describing the functionalities the system should meet. Requirements elicitation, analysis and modeling is a time consuming and error-prone activity, which it is not usually supported by automated tools. This paper tackles this problem by taking free-form textual requirements and offering a semi-automatic process for generation of domain models, such as use cases. Our goal is twofold: (i) reduce the time spent to produce requirements artifacts; and (ii) enable future application of model-driven engineering techniques to maintain traceability information and consistency between textual and requirements visual models artifacts.</t>
  </si>
  <si>
    <t>Verifying security requirements using model checking technique for UML-based requirements specification</t>
  </si>
  <si>
    <t>Use case analysis is known to be an effective method to clarify functional requirements. Security requirements such as access or information control tend to increase the complexity of functional requirements, and therefore, need to be correctly implemented to minimize risks. However, general developers find it difficult to correctly specify adequate security requirements during the initial phases of the software development process. We propose a method to verify security requirements whose specifications are based on Unified Modeling Language (UML) using the model checking technique and Common Criteria security knowledge. Common Criteria assists in defining adequate security requirements in the form of a table. This helps developers verify whether UML-based requirements analysis models meet those requirements in the early stages of software development. The UML model and the table are transformed into a finite automaton in the UPPAAL model checking tool.</t>
  </si>
  <si>
    <t>From Early Requirements to Late Requirements Modeling for a Data Warehouse</t>
  </si>
  <si>
    <t>In recent years, a number of requirements engineering (RE) proposals for a data warehouse (DW) systems have been made. In the traditional/operational systems, requirements engineering has been divided into two phases: early &amp; late requirements engineering phase. Most of the data warehouse requirements engineering (DWRE) approaches have not distinguished early requirements engineering phase from late requirements engineering phase. A very few approaches are seen in the literature that explicitly model early &amp; late requirements for a DW. In this paper, we propose an agent-oriented approach having support from early requirements to late requirements modeling for a data warehouse. Here, the early requirements have been modeled through two models: organization model and goal model whereas late requirements are modeled through decision model. The proposed approach is illustrated through an example of the university for which DW is to be built to support decisional goals.</t>
  </si>
  <si>
    <t>insufficient technical detail</t>
  </si>
  <si>
    <t>Structural Rules for an Intelligent Advisor to Identify Requirements Gaps using Model-Based Requirements</t>
  </si>
  <si>
    <t>Requirements define the problem boundaries within which an engineering team tries to find acceptable solutions. Gaps in requirements formulation can lead to solutions that are not fitfor-purpose. However, the completeness of a set of requirements cannot be demonstrated; rather, completeness is an attempt, a best-effort pursuit. In current practice, where requirement gaps are frequent in system development, the human (engineer or team of engineers) becomes a major factor in the comprehensiveness of the resulting set of requirements. In this paper, we present a concept of an intelligent systems engineering (SE) advisor that supports the (human) engineer in identifying gaps as requirements are formulated, the set of structural rules that the intelligent SE advisor uses to perform the assessment, and a proof-of-concept implemented as a plugin for a Systems Modeling Language (SysML) software environment. The proposed intelligent SE advisor evaluates requirements that are formulated in the form of models leveraging a knowledge repository to read the model-based requirements. If potential gaps in the set of requirements are identified, these are presented to the engineer, who decides how to address the gaps. In this way, the intelligent SE advisor contributes to assessing requirements validation, beyond simply verifying model construction.</t>
  </si>
  <si>
    <t>journalArticle</t>
  </si>
  <si>
    <t>limited novelty / simple application</t>
  </si>
  <si>
    <t>Evaluating a Requirements Change Request in a Goal-oriented Requirements Engineering Model</t>
  </si>
  <si>
    <t>The i star modeling language is used to model business and agent-oriented approaches and goals. It focuses on the description and evaluation of alternatives and their relationships with the organizational objectives. Unfortunately, the robustness and completeness of requirements (tasks) modeling, i.e., the requirements model, needs to be enriched with the generic phases (activities) that generally appear in requirements engineering, such as elicitation, analysis, and so on. In this work, we have therefore define an algorithm to deal with the impact analysis of requirements in goal-oriented requirements engineering, specifically for application in the i star modeling language. The algorithm takes the i star model as an input, and analyzes the impact of a change, considering both FRs and NFRs, and automatically determining the correct trade-offs among NFRs. The algorithm has been implemented as an Eclipse plugin using EMF and J2EE.</t>
  </si>
  <si>
    <t>Early aspects: a model for aspect-oriented requirements engineering</t>
  </si>
  <si>
    <t>Effective RE must reconcile the need to achieve separation of concerns with the need to satisfy broadly scoped requirements and constraints. Techniques such as use cases and viewpoints help achieve separation of stakeholders' concerns but ensuring their consistency with global requirements and constraints is largely unsupported. We build on recent work that has emerged from the aspect-oriented programming (AOP) community to propose a general model for aspect oriented requirements engineering (AORE). The model supports separation of crosscutting functional and non-functional properties at the requirements level. We argue that early separation of such crosscutting properties supports effective determination of their mapping and influence on artefacts at later development stages. A realisation of the model based on a case study of a toll collection system is presented.</t>
  </si>
  <si>
    <t>An Automated Tool for Generating UML Models from Natural Language Requirements</t>
  </si>
  <si>
    <t>This paper describes a domain independent tool, named, UML Model Generator from Analysis of Requirements (UMGAR), which generates UML models like the Use-case Diagram, Analysis class model, Collaboration diagram and Design class model from natural language requirements using efficient Natural Language Processing (NLP) tools. UMGAR implements a set of syntactic reconstruction rules to process complex requirements into simple requirements. UMGAR also provides a generic XMI parser to generate XMI files for visualizing the generated models in any UML modeling tool. With respect to the existing tools in this area, UMGAR provides more comprehensive support for generating models with proper relationships, which can be used for large requirement documents.</t>
  </si>
  <si>
    <t>Facilitating "fuzzy to formal" requirements modelling</t>
  </si>
  <si>
    <t>Requirements specification methods and techniques have hitherto mainly been concerned with promoting various representation formalisms for formally describing information systems and discussing their expressive power. However, this approach concentrates only partially on the problem. A major issue is how to bridge the gap between ill-defined problem and application situations, and specification of the formal, precise definition of functional requirements of the information system. We outline an extended requirements and information modelling paradigm, based on a number of interrelated meta-models. These models reflect the enterprise and its objectives, its non-functional requirements on the system, re-use of existing specification components, and a model for managing and tracking the specification development process.&lt;&gt;</t>
  </si>
  <si>
    <t>Goal-oriented requirements engineering: from system objectives to UML models to precise software specifications</t>
  </si>
  <si>
    <t>This tutorial presents a comprehensive overview of state-of-the-art techniques for eliciting, modeling, specifying, analyzing and documenting high-quality system requirements.</t>
  </si>
  <si>
    <t>Towards a unified Requirements Modeling Language</t>
  </si>
  <si>
    <t>Requirements engineering for complex systems often requires inter-disciplinary collaboration between domain experts who might not have software or systems engineering background. Existing requirements modeling languages unfortunately do not support this scenario well. First, the visual notation of languages like UML or SysML does not follow scientific heuristics and therefore does not provide a homogeneous and more important interdisciplinary comprehensible visualization. Second they provide isolated solutions for specific aspects like feature modeling or hazard modeling and therefore do not provide integrated and interdisciplinary traceability. We propose the Unified Requirements Modeling Language (URML) to overcome these two issues. URML integrates aspects like goal modeling, feature modeling and hazard analysis into one model and aims at a homogeneous and comprehensible visualization. In this paper we propose the meta-model for URML, describe the development of the corresponding visualization as well as initial tool support.</t>
  </si>
  <si>
    <t>RM2PT: A Tool for Automated Prototype Generation from Requirements Model</t>
  </si>
  <si>
    <t>Prototyping is an effective and efficient way of requirement validation to avoid introducing errors in the early stage of software development. However, manually developing a prototype of a software system requires additional efforts, which would increase the overall cost of software development. Based on our proposed approach, we develop RM2PT: a tool for generating prototypes from requirements models automatically. A requirements model consists of a use case diagram, a conceptual class diagram, system sequence diagrams for use cases, and the formal contracts of their system operations in OCL (Object Constraint Language). RM2PT can generate executable MVC (Model View Controller) prototypes from requirements models automatically. We evaluate the tool with four case studies. 93.65% of requirement specifications can be generated to the executable Java source code successfully, and only 6.35% are non-executable for our current provided generation algorithm such as sorting and event-call, which can be implemented by developers manually or invoking the APIs of advanced algorithms in Java library. The tool is efficient that the one second generated prototype of a case study requires approximate nine hours manual implementation by skilled programmers.</t>
  </si>
  <si>
    <t>Non-functional requirements analysis modeling for software product lines</t>
  </si>
  <si>
    <t>In most IT projects, software developers usually pay attention to functional requirements that satisfy business needs of the system. Non-functional requirements (NFR) such as performance, usability, security, etc. are usually handled ad-hoc during the system testing phase, when it is late and costly to fix problems. Due to the importance and criticality of NFR, the author study the problem of modeling NFR for software product lines (SPL), which adds yet an additional dimension of complexity. This paper will survey the software engineering literature, in search of a systematic way to analyze and design NFR, from the perspectives of the concept of commonality and variability of SPL and the characteristics of NFR. Finally, the author proposes a methodology based on the extension of product line UML-based software engineering (PLUS) techniques, for a unified and automated method to model NFR throughout all phases of SPL engineering.</t>
  </si>
  <si>
    <t>Generating UML Use Case Models from Software Requirements Using Natural Language Processing</t>
  </si>
  <si>
    <t>Modeling the system's specifications from the functionality perspective is an important step in analyzing the software requirements. UML use case diagram is one of the most used functional modeling techniques in the software development process. This paper provides an approach to generate the UML use case diagrams from the requirements text using natural language processing. The approach consists of several steps to process the requirements text. Starting with filtering the text from the mistakes and going through natural language processes till generating the use case diagrams. Experimental evaluations have been done on several public software projects to demonstrate the accuracy of the proposed approach.</t>
  </si>
  <si>
    <t>Requirements change management based on object-oriented software engineering with unified modeling language</t>
  </si>
  <si>
    <t>User requirements for software development are getting more complicated and are changing all the time. Not only should the requirements engineering process be well-organized but requirements change management should also be effective, especially for complex systems. However, the software engineering methodology employed can also make requirements change difficult to manage. Object-oriented software engineering using unified modeling language (UML) describes software systems by providing multiple views and diagrams. Therefore, software development with UML needs effective requirements change management. This study proposed a requirements change management model for object-oriented methodology with UML. In order to demonstrate the proposed model, business models from the selected case study, Mission Hospital Phuket, were chosen as the user requirements for the prototype system. Two aspects of the proposed system's performance were evaluated in the research laboratory: (1) users' expectation and (2) users' satisfaction.</t>
  </si>
  <si>
    <t>The RE-Tools: A multi-notational requirements modeling toolkit</t>
  </si>
  <si>
    <t>Requirements engineers need to understand and model different aspects of organizations and systems under construction, and may need to use different modeling notations. However, most modeling tools support only one (or at most a few notations), hindering requirements engineers from using the most appropriate notations for the particular modeling task. The RE-Tools is an open-source toolkit implemented using a UML Profile for StarUML, an open-source UML modeling tool. The toolkit supports many leading requirements modeling notations, including the NFR Framework, the i* Framework, KAOS, Problem Frames, and UML. Each of these notations may be used for modeling independent corresponding diagrams or together with non-functional requirements (NFRs). The toolkit also supports the original qualitative reasoning of the NFR Framework and augments with a quantitative one.</t>
  </si>
  <si>
    <t>Modeling the requirements for big data application using goal oriented approach</t>
  </si>
  <si>
    <t>In this research, we propose generic requirement model for Big Data application. The model offer the use of i× Framework and Knowledge Acquisition automated System (KAOS), which are part of Goal Oriented Requirement Engineering (GORE). Big Data applications handle flood of data that occurs from anything such as climate data, genomes, even just software logs or facebook status. To build such applications demands gathering special requirements specific for Big Data. A generic requirement model is proposed using i× and KAOS model. The model is constructed from analyzing the requirements based on the characteristics of Big Data and its challenges. This generic model is then applied to a case study in an Indonesian's government agency for development planning of West Java (UPTB Pusdalisbang Jawa Barat). The result of this application has demonstrated that the model can be used to generate a valid software requirement specification.</t>
  </si>
  <si>
    <t>Very Lightweight Requirements Modeling</t>
  </si>
  <si>
    <t>We argue for the creation and use of a very lightweight requirements modeling language as an alternative to textual and pictorial requirements specifications.</t>
  </si>
  <si>
    <t>Quality Assured Model-Driven Requirements Engineering and Software Development</t>
  </si>
  <si>
    <t>Software development requires adequate methods for requirements engineering, design, development, testing and maintenance. The more complex the system is, the more sophisticated methods should be applied. A significant part of software projects is short on appropriate requirements engineering, communication, development and testing method, furthermore, verification and validation processes; i.e., not the right method is applied, and the project turns into ad hoc design and development decisions. This paper introduces our quality assured model-driven requirements engineering and software development method. The method is based on the modeling of the software requirements in a way that these models can be used to automatically generate several artifacts during the engineering process. This method is continuously developed during the last 12 years driven by our software projects. In the last two years, we have developed new tool support and also reworked the method. In this paper, as an experience report, we introduce the method: a framework to specify software requirements with four domain-specific languages and automated solutions to process the models. We focus on the requirements engineering method of the whole development cycle. We also report the lessons learned and share our best practices on the field of model-driven requirements engineering and software development.</t>
  </si>
  <si>
    <t>Towards model-driven game engineering for serious educational games: Tailored use cases for game requirements</t>
  </si>
  <si>
    <t>Educational games are essential in the next generation of e-learning tools because games stress visual and experiential learning; they require active involvement by student players while providing almost instantaneous feedback. The long term goal of this research project is to define a model-driven game engineering approach, SimSYS, that supports the rapid development of serious educational games across diverse educational topics. Here, we present our approach for modeling serious educational games, using tailored UML use cases (visual UML diagram and detailed tabular specifications). The tailored approach integrates features of storyboarding techniques (well-established in the game community), with use case modeling (well-established in the software engineering community). The use case model can be transformed into a formal XML representation that can be loaded by the SimSYS Game Play Engine. Part of a game on agile software development process is used for illustration.</t>
  </si>
  <si>
    <t>not primary study</t>
  </si>
  <si>
    <t>A 25 year retrospective on model-driven requirements engineering</t>
  </si>
  <si>
    <t>While many engineers are familiar with Model-Driven design and architecture, Model-Driven Requirements Engineering is still, for a variety of reasons, not widely accepted. Although introduced formally at the First International Workshop on Model-Driven Requirements Engineering (MDRE) in San Diego in 2001, the value proposition is still not clear, there are fewer industrial practitioners than one might expect, MDRE techniques have yet to be standardized and are still not clearly understood. This paper describes the authors experience since 1987 using MDRE techniques, including lessons learned and observed benefits and weaknesses.</t>
  </si>
  <si>
    <t>Model-driven visual requirements engineering</t>
  </si>
  <si>
    <t>This paper describes the requirements handling process of a set of research projects, the ATHENA IP, and how this process is supported by modeling and visualizing requirement structures. First, users and external stakeholders register requirements through easy-to-use Web interfaces. Then developers and managers utilize an integrated modeling tool for visual classification, analysis, elicitation, and selection of requirements. In this paper, we show how advanced visualization techniques improve and support state-of-the-art within requirements handling. This requirement handling system was first applied in the UEML project, and a variant of it is in day-today use by a commercial software vendor and its customers. We finally describe the overall experiences from use of the system.</t>
  </si>
  <si>
    <t>Mdgore: Towards Model-Driven and Goal-Oriented Requirements Engineering</t>
  </si>
  <si>
    <t>Goal-Oriented Requirements Engineering (GORE) has received increasing attention over the past few years. There are several goal-oriented approaches, each one using different kinds of models. We believe that it would be useful to relate them or even transform them automatically, in order to, for example, smooth the process of migration from one model to another. In this paper we propose the definition and implementation of goal model transformations between i* and KAOS. This approach will contribute to relate the concepts of i* and KAOS models and will help, for example, a development team in making the decision on which approach to follow, according to the nature of the project.</t>
  </si>
  <si>
    <t>A Model-Driven Requirements Engineering Method for Human-Centered Digitalisation of Agriculture</t>
  </si>
  <si>
    <t>[Context and motivation] Digitalisation in agriculture is a socio-technical process that involves multiple stakeholders with diverse backgrounds and skills, e.g., in farming or technology. Capturing process transformation requires focusing on different dimensions, i.e., system structure, process flow, and actors' goals. Model-driven requirements engineering (MoDRE) techniques can offer the means to elicit and represent this multi-dimensional information. [Question/problem] This research investigates how MoDRE techniques can support the information exchange within interdisciplinary teams involved in the representation of process transformation in digital agriculture. [Principal ideas/results] We propose a method for process modelling in agricultural domains consisting of (1) a set of different diagrams, namely UML, i* and BPMN, (2) a procedure based on guidelines and (3) a tool to support the co-creation of the diagrams within the context of living labs (LLs, i.e., networks of stakeholders involved in a common socio-technical system). We plan to apply the method through action research in the context of 20 European living labs in the agricultural domain and evaluate the method through standard user questionnaires. [Contribution] There is little empirical evidence on using MoDRE techniques in real-world environments. This study fills this gap by developing a method for socio-technical process modelling in co-design contexts.</t>
  </si>
  <si>
    <t>A Model Driven Tool for Requirements and Hardware Engineering</t>
  </si>
  <si>
    <t>This paper presents a model driven tool for both requirements and hardware engineering. For the requirements engineering, the tool offers many functionalities such as classifying the requirements and linking them with the hardware system elements. For the Hardware engineering, the tool offers different levels of the EE architecture design: Three levels of modelling are used from the more abstract to the more detailed: Function level, Architecture level and Real Component (physical) level. The tool proposes libraries to enable the reuse of hardware components for the different design levels. The tool offers also a list of automatic generation modules such as the automatic generation of the documentation either for the Requirements or the Hardware model and the automatic generation of the BOM specification from the Hardware model. In this paper, we will present a specific use of the tool for the automotive domain. We will identify different requirements imposed by the automotive domain and show how the tool has contributed to satisfy these requirements.</t>
  </si>
  <si>
    <t>13th Model-Driven Requirements Engineering (MoDRE) Workshop</t>
  </si>
  <si>
    <t>Welcome to the 13th International Workshop on Model-Driven Requirements Engineering (MoDRE'23) at the Requirements Engineering Conference. The MoDRE workshop series has established a forum where researchers and practitioners can discuss the challenges of Model-Driven Development (MDD) for Requirements Engineering (RE).</t>
  </si>
  <si>
    <t>A requirements engineering process model based on defaults and revisions</t>
  </si>
  <si>
    <t>In this paper requirements modelling is considered as the construction of logical theories of some nonmonotonic logic. Requirements evolution then involves the mapping of one such theory to another. Applying the deductive power of the theory of belief revision and default reasoning, both originally developed in artificial intelligence, this paper defines a formal framework for the management of changing requirements. This framework provides a simple yet complete model for requirement engineering process itself.</t>
  </si>
  <si>
    <t>Generating goal-oriented models from creative requirements using model driven engineering</t>
  </si>
  <si>
    <t>The KAOS framework aims to avoid eliciting ambiguous or irrelevant requirements and allows efficient and easy communication between stakeholders. Nevertheless, KAOS is designed mainly for requirements engineers, not so much for other important stakeholders, that understand better other kinds of models, such as mind maps. Thus, this paper proposes an approach for generating KAOS goal models from mind maps by adopting model-driven techniques. The use of mind maps, as a creative and agile requirements technique, aims to encourage the construction of KAOS goal models more effectively and in a simpler way by involving all kinds of stakeholders that do need to know about KAOS. Our approach also contains the definition of a systematic process and is applied to an industrial case application.</t>
  </si>
  <si>
    <t>Model-Driven Engineering for Requirements Analysis</t>
  </si>
  <si>
    <t>Requirements engineering (RE) encompasses a set of activities for eliciting, modelling, agreeing, communicating and validating requirements that precisely define the problem domain for a software system. Several tools and methods exist to perform each of these activities, but they mainly remain separate, making it difficult to capture the global consistency of large requirement documents. In this paper we introduce model-driven engineering (MDE) as a possible technical solution to integrate these activities in a common framework. First, we dicuss how RE can leverage the two main techniques for MDE: metamodelling and model transformation. Then, we introduce a metamodel for requirements and present how we have implemented this metamodel to make it executable and usable through a constrained natural language for requirements definition.</t>
  </si>
  <si>
    <t>Model-Driven Development for Requirements Engineering: The Case of Goal-Oriented Approaches</t>
  </si>
  <si>
    <t>Goal-Oriented Requirements Engineering (GORE) has received increasing attention over the past few years. There are several goal-oriented approaches, each one using different kinds of models. We argue that it would be useful to relate them or even perform transformations among them automatically, in order to understand their similarities and differences, their advantages and disadvantages, allowing a possible migration or comparison between approaches. This is something that has not received enough attention. In this paper we propose the definition and implementation of goal model transformations between i* and KAOS. As an immediate contribution, the approach can be used to migrate from one goal model to another through automatic model transformations. This approach also contributes to relate the concepts of i* and KAOS models and will help, for example, a development team in making the decision on which approach to follow, according to the nature of the project and the expressiveness of an approach to represent certain concepts (e.g., obstacles are represented explicitly in KAOS, but not in i*). Another contribution is to facilitate communication among members of the same team, if they are specialized in different approaches.</t>
  </si>
  <si>
    <t>Toward multilevel textual requirements traceability using model-driven engineering and information retrieval</t>
  </si>
  <si>
    <t>In complex industrial projects, textual information remains the main vector of information at the project level. Consequently, requirements are scattered throughout multiple documents expressing different levels of requirements and different kinds of requirements. Formalizing this information and tracing different relationships among documents and organizing this environment present a challenging question. Domain-specific modeling and traceability modeling are Model-Driven Engineering (MDE) techniques that could address various aspects of requirements formalization. Text-based high level requirements can be formalized as document concepts can be gathered and represented. Still, relationships cannot always be determined using sole MDE approaches and, as a consequence, relationships and traceability issue remains. Information retrieval (IR) approaches have already proved to work in an efficient way on large text corpora for requirements traceability analysis but do only consider similarity aspects of flatten documents, losing their organization and hierarchy. This paper aims to introduce how a combined use of both MDE and IR can lead to improved requirements organization and traceability while handling textual ambiguous requirements documents.</t>
  </si>
  <si>
    <t>An architecture-oriented model-driven requirements engineering approach</t>
  </si>
  <si>
    <t>Software development processes have become highly complex with the increase in the complexity of software systems and their architectures. It is widely recognized that requirements engineering (RE) is a critical part of this process, along with the design of a system's software architecture with which to satisfy requirements. In this paper, we aim to provide a methodological approach for Architecture-oriented Model-Driven Requirements Engineering. We believe that considering architectural aspects for modeling requirements in a model-driven approach will provide software developers with several benefits such as an improvement in traceability, better architecture and implementation coherence. This paper presents the definition of a process which is based on the OpenUP method, including its activities, roles, and work products. We also provide an example of the use of this approach in a SOA-based software development project.</t>
  </si>
  <si>
    <t>Model-Driven Requirements Engineering for Embedded Systems Development</t>
  </si>
  <si>
    <t>The development of embedded systems is a complex and challenging task. Part of this complexity originates from limited resources and the need to solve tradeoffs between competing quality properties and goals. Producing a correct design therefore requires a complete and understandable requirements specification. Non-Functional Goals (NFGs) are commonly used to analyze these tradeoffs, while Model-Driven Development has the potential to reduce the design complexity of embedded systems by increasing the abstraction level. In this paper, we extend the Requirements Definition and Analysis Language (RDAL) for goals specification in order to drive a model-driven architecture refinement of embedded systems. Determining the impact of the refinements on Non-Functional Properties (NFPs) and relating these NFPs to design objects are the key aspects of our method. The feasibility of the approach is illustrated through the introduction of a Pacemaker system which needs to deal with several NFPs such as performance, availability, and power consumption.</t>
  </si>
  <si>
    <t>An integrative approach to requirements analysis: How task models support requirements reuse in a user-centric design framework</t>
  </si>
  <si>
    <t>Many software systems fail to address their intended purpose because of a lack of user involvement and requirements deficiencies. This paper discusses the elaboration of a requirements-analysis process that integrates a critical-parameter-based approach to task modeling within a user-centric design framework. On one hand, adapting task models to capture requirements bridges the gap between scenarios and critical parameters which benefits design from the standpoint of user involvement and accurate requirements. On the other hand, using task models as a reusable component leverages requirements reuse which benefits design by increasing quality while simultaneously reducing development costs and time-to-market. First, we present the establishment of both a user-centric and reuse-centric requirements process along with its implementation within an integrated design tool suite. Secondly, we report the design, procedures, and findings of two user studies aimed at assessing the feasibility for novice designers to conduct the process as well as evaluating the resulting benefits upon requirements-analysis deliverables, requirements quality, and requirements reuse.</t>
  </si>
  <si>
    <t>Incorporating Change Management Within Dynamic Requirements-Based Model-Driven Agent Development</t>
  </si>
  <si>
    <t>Agent-oriented technology is arguably one of the most substantial advances in software development. Several platforms and architectures have been developed to deal with its conception and the advantages that it entails. Of these architectures, the belief-desire-intention architecture is amongst the most prominent. This architecture utilizes a series of beliefs known to the agent in order to fulfil its desires given its intentions. Regardless of the agent platform or architecture, however, they all share the common trait of complexity. In sight of this, an increasing amount of research has been done in relation to model-driven approaches to their development. One such model-driven approach is the dynamic non-functional requirements-based approach. This approach utilizes a series of non-functional requirements to control the agents decision-making process, using the extended non-functional requirements framework as its underlying model. This paper presents the inclusion of a unique change management system through out this model-driven approach. This system is capable of categorizing changes, assigning them priorities based on various dynamics and determining their optimal incorporation time. To our knowledge, this is the first time that a change management model has been used in relation to model-driven agent creation. This approach is verified using a randomized empirical-based evaluation.</t>
  </si>
  <si>
    <t>Model Driven Requirements</t>
  </si>
  <si>
    <t>The article consists of a collection of powerpoint slides covering the following: visual models; requirements; reasons for project failure; model driven requirements benefits; metrics; modelling requirements using MODAF; core views; model driven requirements process and model driven requirements.</t>
  </si>
  <si>
    <t>The relation of test requirements models to other requirements models</t>
  </si>
  <si>
    <t>The increasing complexity of systems being designed in the 21st century has resulted in the increasing use of specifications and models to control that complexity. Models are used in the specification, simulation, test, design, and implementation of the systems that are being produced by both government and industry today. Unfortunately, the relationship between these various models is not only formally undefined, but conceptually unclear. This paper will explore the relationship between test specifications and the system specification, simulation, design specification, and implementation of a complex system.</t>
  </si>
  <si>
    <t>bookSection</t>
  </si>
  <si>
    <t>A Logic Programming Approach to Requirements Modeling and Automated Test Generation</t>
  </si>
  <si>
    <t>We present several techniques for construction of executable models of system requirements and automated test case generation using a Logic Programming (LP-based) approach to knowledge representation. We illustrate the LP-based approach with applications of the actual requirements modeling and test generation for several telecommunication services provided to customers from central office switching systems. This approach helped to prevent serious faults, which are typically introduced during the requirements phase and then remain undetected until a time when their correction is costly to the customers and suppliers. The automated generation of test case scenarios from machine executable requirements eliminated an otherwise tedious and error-prone effort, and created a better set of understandable and operational systen1 requirements. This approach can be used in any application domain and independently of any particular requirements analysis methodology.</t>
  </si>
  <si>
    <t>An Effective Requirement Engineering Process Model for Software Development and Requirements Management</t>
  </si>
  <si>
    <t>Requirement engineering is the most effective phase of software development process. It aims to collect good requirements from stakeholders in the right way. It is important for every organization to develop quality software products that can satisfy user's needs. Requirements engineering for software development process is a complex exercise that considers product demands from a vast number of viewpoints, roles, responsibilities, and objectives. Therefore, it becomes necessary to apply requirement engineering practices in every phase of software development process. In this paper, we propose an effective requirements engineering process model to produce quality requirements for software development. Requirement management and planning phase is executed independently for an effective management of requirements. It is iterative in nature for better requirement engineering and later maintenance. The successful implementation of proposed requirement engineering process can have a good impact on the production of quality software product.</t>
  </si>
  <si>
    <t>Requirements Dependency Graph Modeling on Software Requirements Specification Using Text Analysis</t>
  </si>
  <si>
    <t>Understanding interdependency among requirements is one of the success factors in software development. Information on requirements interdependency explicitly and implicitly resided various design artifacts or diagrams. A software requirements specification document is the artifact delivered in the early phase of development. It drives its following development processes. It also contains information on interdependencies among the requirements, such as similar, part-of, and elaborate. This study proposes an approach to model the requirement dependency graph for a software requirements specification document. There is an extraction process for Text Preprocessing, which includes of Tokenization, Stopword Removal, and Stemming. Besides, there is a process of measuring semantic similarity through WS4J (WordNet Similarity for Java). The results of the extraction process, combined with Greedy Algorithms as the optimum value solution approach. Besides, a method for calculating similarity was used through the practices of Wu Palmer and Levenshtein. At the end of this process, Reliability is performed using the Gwet’s AC1 formula.</t>
  </si>
  <si>
    <t>RM2Doc: A Tool for Automatic Generation of Requirements Documents from Requirements Models</t>
  </si>
  <si>
    <t>Automatic generation of requirements documents is an essential feature of the model-driven CASE tools such as UML and SysML designers. However, the quality of the generated documents from the current tools highly depends on the attached descriptions of models but not the quality of the model itself. Besides, if the stockholders ask to generate ISO/IEC/IEEE 29148-2018 conformed documents, extra templates are required. In this paper, we propose a CASE tool named RM2Doc, which can automatically generate ISO/IEC/IEEE 29148-2018 conformed requirements documents from UML models without any templates. In addition, the flow description can be generated from a use case without additional information. Moreover, it can automatically generate the semantic description of system operations only based on the formal expression of OCL. We have conducted four case studies with over 50 use cases. Overall, the result is satisfactory. The 95% requirements documents can be generated from the requirements model without any human interactions in 1 second. The proposed tools can be further developed for the industry of software engineering.The tool can be downloaded at http://rm2pt.com/rm2doc, and a demo video casting its features is at https://youtu.be/4z0Z5mrLfBc</t>
  </si>
  <si>
    <t>Software Requirements Patterns and Meta Model: A Strategy for Enhancing Requirements Reuse (RR)</t>
  </si>
  <si>
    <t>Reuse is a fundamental activity in software development lifecycle, which can be employed at any stage of development. Reuse of software artefacts, such as requirements, architectures, models, test cases among others, improves software quality and productivity. Because of its higher level of abstraction, requirements reuse (RR) is recognized as reuse approach that can provide more benefits in software development. A number of RR approaches are reported in the literature. These include domain-specific, pattern-based, ontology-based and general approaches. However, these approaches lack a strategy that could incorporate some key aspects of reuse, which are, reusable structure, variability modeling (VM) and traceability of software artefacts. In line with this, we make our contribution in this paper by (1) presenting the concepts and importance of software requirements patterns (SRP) and meta model for the enhancement of RR, (2) proposing a meta modeling strategy based on software product line engineering (SPLE), which comprises SRP, VM and traceability. We believe our proposal is novel and can support developers in SPL and model-driven engineering (MDE) benefit more from reuse in the course of software developments.</t>
  </si>
  <si>
    <t>Empirical Validation of Requirements Traceability Metrics for Requirements Model of Data Warehouse using SVM</t>
  </si>
  <si>
    <t>Data warehouse stores historical information, which is used by managers to take organizational decisions. Thus, information quality of data warehouse becomes important and assessed by the quality of its data model. Various authors proposed different metrics for assessment of the data model quality at physical, logical and conceptual level. However, very less research proposals are seen in the literature to assess the quality of requirements data model. Requirements completeness and traceability metrics for requirements model are proposed and formally validated, but no empirical validation is witnessed in the past. In this paper, empirical validation of requirements traceability metrics is performed for predicting the understandability of data warehouse requirements schemas using support vector machine. The results showed high accuracy and precision for predicting understandability of requirements schemas. In this way, quality of requirements model may be improved and subsequently used for obtaining good quality of conceptual data model for data warehouse.</t>
  </si>
  <si>
    <t>Choosing Requirements for Experimentation with User Interfaces of Requirements Modeling Tools</t>
  </si>
  <si>
    <t>When designing a new presentation front-end called FlexiView for requirements modeling tools, we encountered a general problem: designing such an interface requires a lot of experimentation which is costly when the code of the tool needs to be adapted for every experiment. On the other hand, when using simplified user interface (UI) tools, the results are difficult to generalize. To improve this situation, we are developing an UI experimentation tool which is based on so-called ImitGraphs. ImitGraphs can act as a simple, but accurate substitute for a modeling tool. In this paper, we define requirements for such an UI experimentation tool based on an analysis of the features of existing requirements modeling tools.</t>
  </si>
  <si>
    <t>The unified requirements modeling language: Shifting the focus to early requirements elicitation</t>
  </si>
  <si>
    <t>This paper gives an overview of the Unified Requirements Modeling Language (URMLTM) and shows how it integrates concepts from the hazard analysis, product line modeling, and goal modeling domains. The meta-model is explained by example diagrams showing the concepts and notation of the language. The notation is explained and its major icons are presented. The presentation of the language is followed by a summary of the model that will be presented at the workshop.</t>
  </si>
  <si>
    <t>The Research and Application of the Requirement Modeling Method on AM-RUP Requirement Process</t>
  </si>
  <si>
    <t>AM-RUP is the new cut RUP which is combined with agile modeling. The AM-RUP requirement modeling process (ARRP) is put forth in the paper. This paper analyses four main practices on AM, then includes the quintessential practical principles on which RUP is improved by AM. Based on which, the combination of not-UML models (such as CRC, Robust chart) with UML models is applied to ARRP which is able to adapt to the changes in requirement. Based on the development of the university educational administrative system (called UEAS for short) the paper analyses and includes the requirement modeling method on ARRP.</t>
  </si>
  <si>
    <t>Modeling and parallel evaluation of non-functional requirements using FRORL requirements language</t>
  </si>
  <si>
    <t>Current requirements specifications tend to focus more on the functional aspect than the nonfunctional side of a product. Many techniques and tools have been developed to specify and evaluate functional requirements, but few of them are equipped to deal with nonfunctional requirements. In this paper we extend the formal requirements specification language, FRORL, to model nonfunctional requirements and show how these nonfunctional requirements are related to the functional requirements. We also introduce a parallel evaluation technique to evaluate the functional requirements model by satisfying the nonfunctional requirements associated to it. By examining the result from the functional model, we can see how the nonfunctional requirements are satisfied, so that we can adjust and modify the nonfunctional requirements.&lt;&gt;</t>
  </si>
  <si>
    <t>Towards Augmenting Requirements Models with Preferences</t>
  </si>
  <si>
    <t>The analysis of stakeholder requirements is a critical aspect of software engineering. A common way of specifying stakeholder requirements is in terms of a hierarchy of goals whose AND/OR decomposition captures a family of software solutions that comply with the goals. In this paper, we extend this goal modeling framework to include the specification of optional user requirements and user preferences, aggregated together into weighted formulae to be optimized. We team this with an automated reasoning tool, adapted from state of the art research in artificial intelligence planning with preferences, in order to synthesize solutions that both comply with the goals and optimize stakeholder preferences and optional requirements.</t>
  </si>
  <si>
    <t>The automated extraction of requirements from UML models</t>
  </si>
  <si>
    <t>We have observed that often there is a disconnect between a UML model and the requirements of the modeled processes. This gap tends to widen as models become more complex and the extraction of detailed requirements becomes more difficult. The process by which detailed requirements are extracted from a model is fairly straightforward. Not only can the technique be used to extract requirements, but, interestingly enough, the same information that is extracted can be used to generate the task list part of a project plan, as the concrete use cases identify the pieces of software that need to be implemented. The use case model is basically an acyclic directed graph, with dependencies as vertices and use cases as nodes. In order for the extraction process to work, the use case model needs to be built following certain guidelines. For example: No dependency cycles and model continuity (e.g. a single continuous directed graph).</t>
  </si>
  <si>
    <t>TRAM: A tool for transforming textual requirements into analysis models</t>
  </si>
  <si>
    <t>Tool support for automatically constructing analysis models from the natural language specification of requirements (NLR) is critical to model driven development (MDD), as it can bring forward the use of precise formal languages from the coding to the specification phase in the MDD lifecycle. TRAM provides such a support through a novel approach. By using a set of conceptual patterns to facilitate the transformation of an NLR to its target software model, TRAM has shown its potential as an automated tool to support the earliest phase of MDD. This paper describes TRAM and evaluates the tool against three benchmark approaches.</t>
  </si>
  <si>
    <t>Requirement traceability: A model-based approach</t>
  </si>
  <si>
    <t>Requirements tractability remains challenging, particularly in the prevalence of code centric approaches. Similarly, within the emerging model centric paradigm, requirements traceability is addressed only to a limited extent. To facilitate such traceability, we call for representing requirements as first class entities in the emerging paradigm of model-oriented programming. This has the objective of enabling software developers, modelers, and business analysts to manipulate requirements entities as textual model and code elements. To illustrate the feasibility of such an approach, we propose a Requirement-Oriented Modeling and Programming Language (ROMPL) that demonstrates how modeling abstractions can be utilized to manage the behavior and relationships of key requirements entities.</t>
  </si>
  <si>
    <t>Toward a Unified Model for Requirements Engineering</t>
  </si>
  <si>
    <t>One of the problem areas in requirements engineering has been the integration of functional and nonfunctional requirements and use cases. Current practice is to partition functional and nonfunctional requirements such that they are often defined by different teams. Functional requirements are defined by writing text-based use cases or, less frequently, creating a business model, then walking through the use cases, and extracting (often in a haphazard fashion) detailed requirements. The problem is exacerbated when analysts are at different locations. Siemens experience with outsourcing and offshoring has demonstrated that the use of graphical languages significantly reduces cultural and communication problems when teams (e.g. analysis and design) are at different locations. Tracing between functional and nonfunctional requirements, use cases, hazards and features is complicated by the use of different Medias. Introducing new symbols and new relationships allows the creation of a unified model with intrinsic tracing. This, in turn, improves clarity and facilitates communication when teams are at different locations and/or are lacking in domain expertise</t>
  </si>
  <si>
    <t>Modelling Requirements Patterns with a Goal and PF Integrated Analysis Approach</t>
  </si>
  <si>
    <t>At the present time, requirements knowledge is mainly in the possession of requirements experts and senior experienced practitioners, which is often implicit and pragmatic to share with novices. Requirements patterns aim to help derive complete, consistent, and implementable requirements specifications from rough sketches of the problem context. In this paper, we propose to use semi-formal approaches such as Problem Frames (PF) and i* to help represent, organize, and analyze recurring requirements knowledge patterns. The proposed PF and i* integrated approach enables simultaneous consideration of the designerpsilas subjective intentions as well as concrete environmental constraints.</t>
  </si>
  <si>
    <t>A structured approach to requirements gathering creation using PaJMa Models</t>
  </si>
  <si>
    <t>The process of preparation for request for proposals for health information systems typically results in missed opportunities for improvements due to the technical focus of traditional requirements gathering processes. The increased integration of health care systems between wards and external supporting agencies, reliance on professional practice guidelines, and needs for cultural sensitivities requires a specialized method for requirements gathering. We explore the use of a patient journey modeling approach (PaJMa) to requirements gathering using a case study of Whitby Mental Health Center. The improvement of the PaJMa models in increasing the level of detail of requirements, inclusion of nonfunctional requirements, and the identification of required practices, policies, and metrics demonstrate a superior method for requirements gathering in health care.</t>
  </si>
  <si>
    <t>Requirements Exchange: From Specification Documents to Models</t>
  </si>
  <si>
    <t>The documentation of customer needs from the source specifications in a modeling environment for allocating them to architectural elements needs efficient tools and techniques in requirement engineering. Once requirements are present in models, enhancement with suitable properties, classification, prioritization. and allocation on system architecture are then possible. A downside is that the customer needs are likely to evolve over time, and then, we would need to manually redo the modeling of the requirements. Then, what we want to avoid is the manual definition of the customer needs from the source documents as a requirements model in the target environment. We propose in this paper a solution to import and export in Papyrus MDT, a UML modeling tool, the customers' needs from Microsoft documents using the Requirement Interchange Format, ReqIF.</t>
  </si>
  <si>
    <t>Model-based approach for change propagation analysis in requirements</t>
  </si>
  <si>
    <t>The need for support related to the complexity management of systems engineering problems, specifically for requirements management and changes is especially necessary during the early stages of the systems engineering process. Indeed, these stages have a tremendous impact on the overall outcome of a project. If not anticipated at early stages, changes in requirements are leading to changes in the design and in the later implementation stages, resulting in an unexpected increase in costs (monetary, time, etc.). The framework proposed in this article for requirements change prediction consists of a three steps process. First, requirements are modeled using SysML with predefined relationships. Second, all the relationships between requirements in the SysML model are transformed into an adjacency matrix also named DSM. A higher order Dependency Structure Matrix is applied; this matrix-based methodology allows support in the prediction of which requirements will be affected after a change in a specific requirement. Third, the change propagation path is visualized. Using this framework, it is possible to predict the possible propagation of changes in requirements. In addition, it is also possible to identify the requirements that can be reused. This can help to save the time and cost for developing a new system.</t>
  </si>
  <si>
    <t>Improving Software Quality through Requirements Traceability Models</t>
  </si>
  <si>
    <t>Evolution of requirements models by simulation</t>
  </si>
  <si>
    <t>Simulation is a common means for validating requirements models. Simulating formal models is state-of-the-art. However, requirements models usually are not formal for two reasons. Firstly, a formal model cannot be generated in one step. Requirements are vague in the beginning and are refined stepwise towards a more formal representation. Secondly, requirements are changing, thus leading to a continuously evolving model. Hence, a requirements model will be complete and formal only at the end of the modeling process, if at all. If we want to use simulation as a means of continuous validation during the process of requirements evolution, the simulation technique employed must be capable of dealing with semi-formal, incomplete models. We present an approach how we can handle partial models during simulation and use simulation to support evolution of these models. Our approach transfers the ideas of drivers, stubs, and regression from testing to the simulation of requirements models. It also uses the simulation results for evolving an incomplete model in a systematic way towards a more formal and complete one.</t>
  </si>
  <si>
    <t>CoSTest: A Tool for Validation of Requirements at Model Level</t>
  </si>
  <si>
    <t>We present CoSTest, a tool that supports the validation of Conceptual Schemas by using testing. The tool implements techniques for transforming instantiations from a Requirements Model into test case implementations by supporting a Model-driven architecture.</t>
  </si>
  <si>
    <t>A Coordination Complexity Model to Support Requirements Engineering for Cross-organizational ERP</t>
  </si>
  <si>
    <t>Cross-organizational information systems projects, such as ERP, imply an expensive requirements engineering (RE) cycle. Little is known yet about how to carry it out with more predictable alignment results and chances for success. We propose an approach that allows incremental, systematic improvement of cross-organizational RE. It builds on organizational network research, coordination theory, ERP misalignments, and existing RE improvement standards</t>
  </si>
  <si>
    <t>Goal-Oriented Modeling of Requirements Engineering for Dynamically Adaptive System</t>
  </si>
  <si>
    <t>Increasingly, dynamically adaptive systems (DASs) are addressing complex problems that require a high degree of assurance. The inherent complexity of DASs and the safety critical applications they are addressing necessitates rigorous requirements engineering (RE). This problem is further complicated by the multiple stakeholders involved in the RE process. Berry et al. have identified four levels of RE done for a DAS, in which each level implicitly corresponds to the objectives of a different stakeholder. This paper presents a goal-oriented approach to specifying the four levels of RE using the KAOS specification language. This approach enhances the understanding of the role and contributions of each stakeholder and their complex relationships</t>
  </si>
  <si>
    <t>SAMM: A modeling tool for requirements and design specification</t>
  </si>
  <si>
    <t>Increasing the communication between customer and contractor is seen as an effective way of improving software quality. Experience with a variety of software methods has clearly focused on both the need for communication and the means of accomplishing it. A methodology for defining software requirements and design has been developed. It is based, in part, on a synergism of modeling techniques. Experiences with the methodology have resulted in refinements. Elements of the methodology, experience with it, and current applications aimed at automating its use are described.</t>
  </si>
  <si>
    <t>A domain specific requirements model for scientific computing: NIER track</t>
  </si>
  <si>
    <t>Requirements engineering is a core activity in software engineering. However, formal requirements engineering methodologies and documented requirements are often missing in scientific computing projects. We claim that there is a need for methodologies, which capture requirements for scientific computing projects, because traditional requirements engineering methodologies are difficult to apply in this domain. We propose a novel domain specific requirements model to meet this need. We conducted an exploratory experiment to evaluate the usage of this model in scientific computing projects. The results indicate that the proposed model facilitates the communication across the domain boundary, which is between the scientific computing domain and the software engineering domain. It supports requirements elicitation for the projects efficiently.</t>
  </si>
  <si>
    <t>Requirement and interaction analysis using aspect-oriented modeling</t>
  </si>
  <si>
    <t>Aspect-oriented modeling (AOM) has been developed to modularize crosscutting concerns appropriately in UML models. In software engineering, aspects are concerns that cut across multiple modules. In requirements modeling, we analyze interactions and potential inconsistencies. We use UML to model requirements in a use case driven approach. During requirements specification a structural model of the problem domain is captured with a class diagram. Use cases refined by activities are the join points to compose crosscutting concerns. Graph transformation systems provide analysis support for detecting potential conflicts and dependencies between rule-based transformations.</t>
  </si>
  <si>
    <t>A Semi-Formal Requirement Modeling Pattern for Designing Industrial Cyber-Physical Systems</t>
  </si>
  <si>
    <t>Requirement engineering is a crucial part of the engineering process. The traditional methods of requirement engineering are time-consuming and human-centered. A well-established software requirement description model needs to ensure the accuracy and integrity of the transformation and is also hoped to be scalable, versatile, and efficient in transformation and transmission. This paper presents a method of requirement engineering, including constricted nature language requirement input pattern, and the formalized requirement description JSON model. This method provides convenience for requirement modification and validation that can satisfy the real-time constraints of industrial cyber-physical systems.</t>
  </si>
  <si>
    <t>Business insight toolkit: Flexible pre-requirements modeling</t>
  </si>
  <si>
    <t>Pre-requirements analysis requires modeling tools with unprecedented flexibility. The Business Insight Toolkit (BITKit) is a prototype of a new kind of modeling tool, aimed at offering the flexibility of office tools along with many of the advantages of modeling tools.</t>
  </si>
  <si>
    <t>Using machine learning to enhance automated requirements model transformation</t>
  </si>
  <si>
    <t>Textual specification documents do not represent a suitable starting point for software development. This issue is due to the inherent problems of natural language such as ambiguity, impreciseness and incompleteness. In order to overcome these shortcomings, experts derive analysis models such as requirements models. However, these models are difficult and costly to create manually. Furthermore, the level of abstraction of the models is too low, thus hindering the automated transformation process. We propose a novel approach which uses high abstraction requirements models in the form of Object System Models (OSMs) as targets for the transformation of natural language specifications in conjunction with appropriate text mining and machine learning techniques. OSMs allow the interpretation of the textual specification based on a small set of facts and provide structural and behavioral information. This approach will allow both (1) the enhancement of minimal specifications, and in the case of comprehensive specifications (2) the determination of the most suitable structure of reusable requirements.</t>
  </si>
  <si>
    <t>REDEPEND: Extending i* Modelling into Requirements Processes</t>
  </si>
  <si>
    <t>This paper describes our REDEPEND tool for i* goal modelling and analysis, and new features designed to make it more usable and useful. Pattern-based techniques that generate text requirements statements from graphical i* models improve the productivity and utility of REDEPEND in requirements projects</t>
  </si>
  <si>
    <t>Requirements engineering and modelling for building automation systems</t>
  </si>
  <si>
    <t>The planning and layout of a building automation system is a complex process characterized by the selection, application and interconnection of multiple different functions. Planning mistakes are often not recognized before the initial operation of the building. In order to allow an earlier fault and function analysis and to ease planning, an approach for an efficient development of a functional model for the building automation system has been developed. This functional model offers not only a simulation of the building automation system but also the automatic configuration of the hardware components of the building automation system.</t>
  </si>
  <si>
    <t>Requirements modeling technology: a vision for better, faster, and cheaper systems</t>
  </si>
  <si>
    <t>The paper discusses a vision, motivation, and objectives for a new engineering technology based on the Rosetta System Level Design Language (SLDL) that we call "requirements modeling". Requirements modeling is what systems engineers and systems analysts do with Rosetta SLDL. Rosetta SLDL is information technology that supports the specification of multi-technology, multifaceted, multi-discipline systems. Until the Rosetta SLDL emerged, no good way existed to help the design team "get its arms around" all of the requirements for a complex system. Requirements related issues are the most common source of systems engineering problems and they impact all aspects of product development. Requirements models help design teams stay "on the same page" with each other. Requirements modeling reduces cycle time, reduces costs, reduces the probability of overruns, and helps with support and sustainment of the product. Requirements models will be the input to many new and enhanced design automation tools and processes. The benefits of requirements modeling technology are wide reaching, because system requirements touch everything and everyone associated with a product.</t>
  </si>
  <si>
    <t>Modeling telemedicine security requirements using a SysML security extension</t>
  </si>
  <si>
    <t>This paper follows previous work that presents a model for security requirements based on a SysML extension. Following its use, some shortcomings have been observed. In this paper, we present a revision of this extension based on those observations. Then, we apply the revised extension to model the security requirements for a telemedicine system.</t>
  </si>
  <si>
    <t>Handling requirements using FlexREQ model</t>
  </si>
  <si>
    <t>Requirements Engineering (RE) is one of the important disciplines of software development. With the passage of time, software development process changed from traditional approaches to agile approaches. RE techniques also changed from traditional software development to agile software development. Research shows that the traditional software development can't handle rapid change in requirements while the agile approach can handle rapid change in requirement during and after the software development. In this paper an overview of RE followed by different software development project is reviewed. Also a unique model FlexREQ to handle RE approaches though Dynamic Link list (DLL) and an Entity Relation Model (ER Model) is discussed.</t>
  </si>
  <si>
    <t>Flexible, lightweight requirements modeling with Flexisketch</t>
  </si>
  <si>
    <t>Early stage requirements models are often documented using paper and pencil-based approaches. In our current research, we are exploring lightweight modeling tools and approaches that could provide a beneficial alternative. We have developed the FlexiSketch tool prototype which combines support for free-form sketching with lightweight metamodeling capabilities. This creates the possibility for an automatic transcription of the documented information in later modeling stages. The tool is designed to be used on tablet devices.</t>
  </si>
  <si>
    <t>Analysis, Specification and Modeling of Non-Functional Requirements for Translative Model-Driven Development</t>
  </si>
  <si>
    <t>Non-functional requirements (NFRs), apparently, have different characteristics from their functional counterparts. The ways to develop conceptual models of NFRs, therefore, do not akin to the one for functional requirements (FRs). This paper proposes a method to analyze, specify and modeling non-functional requirements especially the ones that can be manifested as operational/functional features, in the context of translative model-driven development. Our method employs two analysis approaches: NFR framework and uses-cases approach accompanied with our proposed specification technique: scenario-based specification. Results from the scenario-based specification will be used as an insight for developing NFRs conceptual models. In here, we present the way to model a security concern of Voter Tracking System (VTS), a system to mark voters using handheld electronic device.</t>
  </si>
  <si>
    <t>mid</t>
  </si>
  <si>
    <t>A reference model for requirements and specifications</t>
  </si>
  <si>
    <t>The authors define a reference model for applying formal methods to the development of user requirements and their reduction to a behavioral system specification. The approach focuses on the shared phenomena that define the interface between the system and the environment.</t>
  </si>
  <si>
    <t>Experiences using lightweight formal methods for requirements modeling</t>
  </si>
  <si>
    <t>The paper describes three case studies in the lightweight application of formal methods to requirements modeling for spacecraft fault protection systems. The case studies differ from previously reported applications of formal methods in that formal methods were applied very early in the requirements engineering process to validate the evolving requirements. The results were fed back into the projects to improve the informal specifications. For each case study, we describe what methods were applied, how they were applied, how much effort was involved, and what the findings were. In all three cases, formal methods enhanced the existing verification and validation processes by testing key properties of the evolving requirements and helping to identify weaknesses. We conclude that the benefits gained from early modeling of unstable requirements more than outweigh the effort needed to maintain multiple representations.</t>
  </si>
  <si>
    <t>From Requirements Documents to System Models: A Tool for Interactive Semi-Automatic Translation</t>
  </si>
  <si>
    <t>Natural language is the main presentation means in industrial requirements documents. This leads to the fact that requirements documents are often incomplete and inconsistent. Despite the fact that documents are mostly written in natural language, natural language processing (NLP) is barely used in industrial requirements engineering. The presented paper shows, how a natural language processing (NLP) approach can be integrated in a CASE tool. This enables the integrated tool to learn on the fly, which grammatical construction represents which model element. A valuable side effect of the proposed integration is tracing between the textual document and the constructed model. The presented integrated tool was evaluated in several case studies that have shown practical applicability of the tool.</t>
  </si>
  <si>
    <t>Requirements models in context</t>
  </si>
  <si>
    <t>The field of requirements engineering emerges out of tradition of research and engineering practice that stresses the importance of generalizations and abstractions. Although abstraction is essential to design it also has its dark side. By abstracting away from the context of an investigation, the designer too easily lapses into modeling only those things that are easy to model. The subtleties, special cases, interpretations and concrete features of the context of use are smoothed over in the rush to capture the essence of the requirements. Often, however, what is left out is essential to understanding stakeholders' needs. In contrast, approaches that stress context at the expense of abstraction may lead to floundering or to short-term customer satisfaction at the expense of long-term fragility of the system. What is needed is a synthesis of these two approaches: a synthesis that recognizes the complementary values of abstraction and context in requirements engineering and that does not relegate either one to a background role. Such a synthesis requires us not only to adopt new methods in practice but also to rethink our underlying assumptions about what requirements models are models of and what it means to validate them.</t>
  </si>
  <si>
    <t>Using Model-Based Design for Automotive Systems Engineering - Requirements Analysis of the Power Window Example (2006-01-1217)</t>
  </si>
  <si>
    <t>A Controlled Natural Language Approach for Integrating Requirements and Model-Driven Engineering</t>
  </si>
  <si>
    <t>Despite the efforts made during the last decades, Software Engineering still presents several issues concerning software products' quality. Requirements Engineering plays a important role regarding software quality, since it deals with the clear definition of the target system's scope. Moreover, Requirements Engineering is crucial to deal with change management, which is required to ensure that the final product reflects the stakeholders' expectations, namely the client and end-users business-related needs. We advocate the need to address the open issues regarding the requirements development process, namely to mitigate the drawbacks of using informal natural language, such as ambiguity and inconsistency. Moreover, we recognize the importance of automation to enhance productivity by avoiding repetitive and error-prone activities. In this paper, we propose a new socio-technical approach to overcome these software quality problems, consisting on the deep integration of Requirements Engineering with Model-Driven Engineering processes. This approach is based upon a controlled natural language for requirements specification, supporting the automatic extraction and verification of requirements models with Natural Language Processing techniques. The current results consist on the development of a Wiki-based tool prototype to validate our research ideas.</t>
  </si>
  <si>
    <t>Towards the model-driven engineering of security requirements for embedded systems</t>
  </si>
  <si>
    <t>This paper discusses why and how security requirements engineering must be adapted to the model-driven approach usually adopted to design and develop embedded systems. In particular, we discuss to what extent the elicitation of security requirements and the Y-chart partitioning approach, a central design methodology in embedded systems, can mutually enrich each other. We also show how SysML, which is already commonly used to engineer requirements in embedded systems, can also represent security requirements, assets, and threats with only a few extensions and thus support a more comprehensive requirements engineering methodology. We illustrate the use of our overall methodology and toolkit with examples from the automotive embedded system field in order to demonstrate the relevance of our approach.</t>
  </si>
  <si>
    <t>Interaction of model-driven engineering and signal-based online monitoring of production systems: Towards Requirement-aware evolution</t>
  </si>
  <si>
    <t>Due to market requests many production systems undergo an everlasting evolution process that increasingly shifts traditional development activities for production systems to later phases of their lifecycle. As one of these activities, this contribution aims on the need for a semi-automated requirement verification mechanism during evolution. In this context the contribution proposes an answer to the question how a posteriori as well as a priori verification can be combined and which synergies arise accordingly. To do so, two appropriated approaches, one using an interdisciplinary modeling framework for model-driven engineering, and one using a PLC-signal based monitoring technique are presented that enhance each other by comparing estimated and actual system characteristics as verifiable requirement description. The resulting combined approach and its synergies are illustrated in two scenarios of an evolution case study.</t>
  </si>
  <si>
    <t>Model-Based Systems Engineering Requires Metamodel Renovation: Requirements for Metamodel Renovation</t>
  </si>
  <si>
    <t>Ametamodel establishes the constructs and rules governing the creation of models within a specific modeling methodology, such as model-based systems engineering (MBSE), which has gained increasing popularity among researchers and practitioners. The absence of a universally accepted metamodel can lead to various issues, which have not been adequately addressed in the relevant literature. Drawing from practices in systems engineering (SE), this article identifies new challenges for MBSE, emphasizing the crucial need for a metamodel in its execution. Due to the generalization of MBSE, it is not trivial to provide a metamodel for MBSE, and solid work is needed to accomplish this task.</t>
  </si>
  <si>
    <t>Specifying a New Requirement Model for Secure Adaptive Systems</t>
  </si>
  <si>
    <t>Security is a growing concern in developing software systems. It is important to face unknown threats in order to make the system continue operating properly. Threats are vague and attack methods change frequently. Coping with such changes is a major feature of an adaptive software. Therefore, designing an adaptive secure software is an appropriate solution to address software security challenges. Through estimation of maximum amount of system assets security, one can determine whether the system is protecting the assets or not; if not, reconfiguration can be employed. This paper proposes a new requirement model for secure adaptive systems using fuzzy, goal modeling and Description Logic concepts. The model contains three phases of modeling security aspects of the system, identifying formalizations and relations between the requirements and monitoring and adapting, when needed. To illustrate the relations between the requirements, goal modeling is used in the first phase and fuzzy Description Logic in the second phase. For the third phase, four algorithms are proposed to monitor and determine whether reconfiguration is needed or not. Theorems are given to prove concept satisfaction of the requirements. Furthermore, examples and case studies are discussed to evaluate and show applicability of the proposed model.</t>
  </si>
  <si>
    <t>Formal Validation and Requirements Management Based on the Jackson's Reference Model for Requirements and Specifications</t>
  </si>
  <si>
    <t>This research aims to develop a formal framework for (1) formal validation for satisfiability of specifications to requirements, and (2) requirements management based on the Jackson's reference model for requirements and specifications, which provides an insight and perspective basis for relationship between requirements and specifications. To develop the framework, we use propositional logic, from which we derive formal discussion and devices for computer assistance. In the framework the validation for satisfiability of specifications to requirements is ascribed to the validity checking of logical formulas. Also within the framework we develop a useful notion of ``weakest adequate specifications'' with its calculating technique. We will demonstrate the usefulness of the framework with practical examples.</t>
  </si>
  <si>
    <t>Legal requirements analysis and modeling with the measured compliance profile for the goal-oriented requirement language</t>
  </si>
  <si>
    <t>As demonstrated by a benchmark HIPPA case study, the Measured Compliance Profile for the Goal-oriented Requirement Language (GRL) is used to formalize legal text with GRL in order to make it amenable to compliance analysis. This formalization is based on guidelines yielding a goal model that can be analyzed for compliance with the jUCMNav tool with the help of real-world measurements captured by indicators in the goal model. For usability reasons, the legal text may also be specified in a tabular representation and subsequently transformed into a goal model by jUCMNav.</t>
  </si>
  <si>
    <t>A reference model for requirements engineering</t>
  </si>
  <si>
    <t>The reference model of Gunter et al, 2000, provides a framework for describing and analyzing key software engineering artifacts and their properties. We propose a reification of this framework in which behaviour is explicitly trace-based. We find that this benefits the formalism in adding structure in ways which are meaningful and practical from an engineering viewpoint. In particular, we develop notions of points of introduction and reachability in the new framework, and show how they strengthen the properties of the reference model.</t>
  </si>
  <si>
    <t>A Model-based Conceptualization of Requirements for Compliance Checking of Data Processing against GDPR</t>
  </si>
  <si>
    <t>The General Data Protection Regulation (GDPR) has been recently introduced to harmonize the different data privacy laws across Europe. Whether inside the EU or outside, organizations have to comply with the GDPR as long as they handle personal data of EU residents. The organizations with whom personal data is shared are referred to as data controllers. When controllers subcontract certain services that involve processing personal data to service providers (also known as data processors), then a data processing agreement (DPA) has to be issued. This agreement regulates the relationship between the controllers and processors and also ensures the protection of individuals’ personal data. Compliance with the GDPR is challenging for organizations since it is large and relies on complex legal concepts. In this paper, we draw on model-driven engineering to build a machine-analyzable conceptual model that characterizes DPA-related requirements in the GDPR. Further, we create a set of criteria for checking the compliance of a given DPA against the GDPR and discuss how our work in this paper can be adapted to develop an automated compliance checking solution.</t>
  </si>
  <si>
    <t>low</t>
  </si>
  <si>
    <t>On the size requirement for finite phased-array models</t>
  </si>
  <si>
    <t>The question considered is how large an array model must be in order to capture approximately the characteristics of both the interior and the edge elements of a large multi-octave phased array. Arrays with tapered slot elements and with top-loaded dipoles are analyzed at element spacings as small as 0.1/spl lambda/ and it is concluded that at any frequency, a finite array model with this type of element should be at least 5/spl lambda//spl times/5/spl lambda/ in size. This suggests the generalization of the 10/spl times/10 element model often used as an engineering "rule of thumb" in the normal narrow-band case with 0.5/spl lambda/ element spacing. An array model with a 5:1 bandwidth thus needs about 25 times more elements than a narrow-band model. The array feed impedance is considered and it is found that the array active reflection coefficient in finite arrays but not in infinite arrays is dependent on the matching condition at the feed. The finite-difference time-domain (FDTD) technique is used to analyze arrays up to 49/spl times/49 elements, demonstrating that computer power now makes feasible the full wave solution for large phased arrays with complex geometry.</t>
  </si>
  <si>
    <t>Software quality models: Purposes, usage scenarios and requirements</t>
  </si>
  <si>
    <t>Software quality models are a well-accepted means to support quality management of software systems. Over the last 30 years, a multitude of quality models have been proposed and applied with varying degrees of success. Despite successes and standardisation efforts, quality models are still being criticised, as their application in practice exhibits various problems. To some extent, this criticism is caused by an unclear definition of what quality models are and which purposes they serve. Beyond this, there is a lack of explicitly stated requirements for quality models with respect to their intended mode of application. To remedy this, this paper describes purposes and usage scenarios of quality models and, based on the literature and experiences from the authors, collects critique of existing models. From this, general requirements for quality models are derived. The requirements can be used to support the evaluation of existing quality models for a given context or to guide further quality model development.</t>
  </si>
  <si>
    <t>out of scope</t>
  </si>
  <si>
    <t>Distribution modeling requirements for integration of PV, PEV, and storage in a smart grid environment</t>
  </si>
  <si>
    <t>Distributed resource adoption coupled with smart grid implementations is expected to significantly alter the nature of the distribution system. However, traditional distribution models and analysis techniques are not capable of capturing the relevant temporal and spatial characteristics associated these devices. As a result, new models and analyses are needed to permit distribution planners to access the potential benefits and impacts of these devices. In this paper, behavioral characteristics and modeling requirements of three emerging distributed technologies - solar photovoltaic (PV), plug-in electric vehicles (PEV), and energy storage devices - are discussed.</t>
  </si>
  <si>
    <t>Oxide-based RRAM: Requirements and challenges of modeling and simulation</t>
  </si>
  <si>
    <t>New physical insights on the underlying physics from switching behaviors to operating mechanisms of oxide-based RRAM are presented by taking the microstructure nature of switching materials and correlated physical effects with switching process into account. Based on the new physical insights, a platform for HfOx- and TaOx-based RRAM including simulation tools and compact models is developed, which is able to reproduce the essential electrical and microscopic characteristics of RRAM and bridge the link between device and circuit systems, meeting the requirements of device-circuit-system co-design and optimization.</t>
  </si>
  <si>
    <t>Runtime Monitoring of Human-Centric Requirements in Machine Learning Components: A Model-Driven Engineering Approach</t>
  </si>
  <si>
    <t>As machine learning (ML) components become in-creasingly integrated into software systems, the emphasis on the ethical or responsible aspects of their use has grown significantly. This includes building ML-based systems that adhere to human-centric requirements, such as fairness, privacy, explainability, well-being, transparency and human values. Meeting these human-centric requirements is not only essential for maintaining public trust but also a key factor determining the success of ML-based systems. However, as these requirements are dynamic in nature and continually evolve, pre-deployment monitoring of these models often proves insufficient to establish and sustain trust in ML components. Runtime monitoring approaches for ML are potentially valuable solutions to this problem. Existing state-of-the-art techniques often fall short as they seldom consider more than one human-centric requirement, typically focusing on fairness, safety, and trust. The technical expertise and effort required to set up a monitoring system are also challenging. In my PhD research, I propose a novel approach for the runtime monitoring of multiple human-centric requirements. This approach leverages model-driven engineering to more comprehensively monitor ML components. This doctoral symposium paper outlines the motivation for my PhD work, a potential solution, progress so far and future plans.</t>
  </si>
  <si>
    <t>Relating domain model based requirements management and situational method engineering</t>
  </si>
  <si>
    <t>In this paper we revisit our earlier proposed domain model based approach to requirements management from a situational method engineering perspective. The approach has originally been developed dedicatedly for a small- and medium-sized enterprise (SME) in the field of control system development. Broadening the perspective by considering situational method engineering helps to generalize the approach to support any kind of flexible and customer-oriented enterprise that works in highly innovative fields. The investigation has opened up our method for new strategies to make domain model choices and to tailor the requirements-based search for similar projects. Furthermore, the feedback loop that we provide to adapt domain models according to the concrete experiences of an SME within recent projects raises an issue that possibly applies to knowledge management in situational method engineering in general.</t>
  </si>
  <si>
    <t>IoT business models and extended technical requirements</t>
  </si>
  <si>
    <t>Internet of Things (IoT) is just in the primary stage for the concept of it is still in debate now. Authors think IoT is a cluster of infrastructure and communication infrastructure is one of most important basis. So, this paper discussed three types of IoT communication infrastructure and derived three kinds of IoT business model from them. Extended requirements of communication infrastructure for IoT are also proposed.</t>
  </si>
  <si>
    <t>High level requirements of fast simulation and modelling suite of tools for future “self-healing” distribution power system</t>
  </si>
  <si>
    <t>FSM system is envisioned as a suite of tools specifically for grid operations, planning, and management. This software open platform, based on open-communication standards acceptance, should provide major enhancements by enabling key attributes of the Self-Healing Grid: • Accurate real-time state estimation • Predictive analysis by faster than real-time simulation • Cost-effective and safe real-time optimization of the operations. The target could be the emergence of a platform of help-decision tools that allows a grid operator to optimize the management of the grid in real time as well as predict the grid behavior up to 4 hours in the future based upon historical and real time data. The planning gets closer and closer to the operation. The D-FSM objective is to design the requirements of distribution functions optimizing the real time operation of the grid and ensure compatibility with the transmission requirements.</t>
  </si>
  <si>
    <t>Interconnection system requirements and modeling</t>
  </si>
  <si>
    <t>Rapid technological advances in electronic systems technologies are placing increasingly severe demands on interconnection media. One primary driving force is the evolutionary advance in the scale of integration in silicon with its inherent cost and performance advantages. Another is the revolutionary development of photonics, which is rapidly integrating into most levels of the interconnection hierarchy. Increasingly, the interconnection environment dominates and limits the performance of large-scale electronic systems. This paper explores traditional levels of interconnection from IC chip packages to frames. It shows how the interconnection levels interrelate and must be improved simultaneously to achieve full performance and cost benefits. The first major step in this evolution is well underway with the rapid transition to surface mounting of devices. We describe advanced modeling tools and relate the results of modeling analysis to the challenges faced by interconnection technology hardware and materials.</t>
  </si>
  <si>
    <t>Specifying timing requirements in domain specific languages for modeling</t>
  </si>
  <si>
    <t>Complex Real-Time Embedded Systems (RTESs) can be developed using model-based engineering. The problem is choosing a modeling language that has capabilities to model the most important characteristic of RTESs: timing. This paper shows an analysis of the most popular modeling languages and their capabilities to model timing constraints in RTESs. It includes UML, SysML, AADL, MARTE and EAST-ADL. A brief comparison between MARTE and EAST-ADL, based on the case study from the automotive industry, is also included.</t>
  </si>
  <si>
    <t>ATM NE Functional Modeling and Requirements</t>
  </si>
  <si>
    <t>&lt;P&gt; &lt;UL&gt; &lt;LI&gt; &lt;P&gt;The Need for ATM NE Functional Model Specifications&lt;/P&gt; &lt;/LI&gt; &lt;LI&gt; &lt;P&gt;A General Taxonomy of ATM Equipment Types&lt;/P&gt; &lt;/LI&gt; &lt;LI&gt; &lt;P&gt;Examples of ATM Equipment Types&lt;/P&gt; &lt;/LI&gt; &lt;LI&gt; &lt;P&gt;The Detailed Functional Modeling of ATM NEs&lt;/P&gt; &lt;/LI&gt; &lt;LI&gt; &lt;P&gt;Layer Management Indication (LMI) and the CoF&lt;/P&gt; &lt;/LI&gt; &lt;LI&gt; &lt;P&gt;Examples of the Detailed Functional Model&lt;/P&gt; &lt;/LI&gt; &lt;LI&gt; &lt;P&gt;The AEMF and TMN-Related Interface Protocols&lt;/P&gt; &lt;/LI&gt; &lt;LI&gt; &lt;P&gt;CMIP/CMISE Messages and Functions&lt;/P&gt; &lt;/LI&gt; &lt;LI&gt; &lt;P&gt;Simple Network Management Protocol (SNMP) Functions and Messages&lt;/P&gt; &lt;/LI&gt; &lt;LI&gt; &lt;P&gt;Interim Local Management Interface (ILMI)&lt;/P&gt; &lt;/LI&gt; &lt;LI&gt; &lt;P&gt;ATM Performance Objectives and QoS Classes&lt;/P&gt; &lt;/LI&gt; &lt;/UL&gt; &lt;/P&gt;</t>
  </si>
  <si>
    <t>Requirements for models of semiconductor optical amplifiers</t>
  </si>
  <si>
    <t>Presently, semiconductor optical amplifiers tend to be laser designs that have been modified by the addition of anti-reflection coatings. That is, they are not specifically designed with a purpose in mined. This may be because it is difficult to justify producing novel devices for research purposes and also because it takes a number of weeks to fabricate a new design. It would, however, be easier to justify production if the designs could first be optimised and tested using CAD techniques. The purpose of this paper is to identify which features should be included in CAD models of semiconductor laser amplifiers. The results of this paper are summarised. This was compiled during the development of a new type of laser amplifier model- the transmission-line laser model (TLLM).&lt;&gt;</t>
  </si>
  <si>
    <t>Fidelity requirements in brushless permanent magnet motor modelling</t>
  </si>
  <si>
    <t>The paper discusses the development and validation of motor simulation models to aid in the design of actuators for use with automotive variable geometry turbochargers. The specific focus is on the benefit of increasing the fidelity of the motor model, against the tradeoff of increased complexity. Several separate models of the same brushless permanent magnet motor are developed and validated against measurements made from a sample motor. These results, along with the simulation time required for different types of model, are presented and used to draw conclusions on the appropriate fidelity of model for different types of analysis.</t>
  </si>
  <si>
    <t>Modeling risks associated with full requirements service</t>
  </si>
  <si>
    <t>Summary form only given. Full requirements service entails a commitment to supply all of a wholesale customer's energy requirements. This includes supplying a varying amount of energy in each hour, covering the installed capacity (ICAP) requirement and other ancillary services. This is one of the most complex structured transactions that an energy service company (ESCO) can enter into. This paper discusses the key sources of risk and how to capture them in product modeling.</t>
  </si>
  <si>
    <t>Modelling dielectric materials in electromagnetic applications: A review of techniques with a discussion of practical considerations and future requirements</t>
  </si>
  <si>
    <t>On material dispatch model in the emergency requirements region</t>
  </si>
  <si>
    <t>More disaster points frequently appear when large-scale nature disasters occurred, a timely and effective dispatch of emergency supplies in the region and foreign aids is one of the keys to the emergency. According to characteristic of continuous consumption problem, combined with hub-and-spoke theory, in this paper, the model of the material dispatch is proposed based on the smallest sum of all emergency-start-time. Finally, the algorithm based on tabu search algorithms and an example for this model is introduced.</t>
  </si>
  <si>
    <t>Product requirements by the reference model: a case study</t>
  </si>
  <si>
    <t>The success achieved using the IEEE-CS MSS reference model for developing an MSS product requirements document is described. Background on the need for a product requirements document is given, and the use of the model in organizing and defining the product requirements is described. For each module identified by the model, examples of product requirements are given as representative of the module. In addition to providing a full concrete interpretation of the model, the author identifies some minor limitations encountered with the attempt to use the model as the basis for product requirements. Addressing these minor limitations is described.&lt;&gt;</t>
  </si>
  <si>
    <t>Mechatronic Modelling of Electric Pump Units to Reach Ecodesign Requirements</t>
  </si>
  <si>
    <t>Based on normative requirements of variable speed pump applications, thisp aper presents boundary parameters and load profiles from EU regulations that are relevant for the design process of today's pump applications. A model-based approach is described, which can be used in a computer-aided design routine to optimize the designof pumps considering different criteria. In particular, the holistic mechatronic approach is of high importance.</t>
  </si>
  <si>
    <t>Facilitating the operation and integration of DER and microgrids using the IEC 61850-7-420 standard data models, especially for meeting IEEE 1547 and EN 50549 grid code requirements</t>
  </si>
  <si>
    <t>Utilities, aggregators/VPP's, DER, microgrid operators and DER manufacturers are facing increasing challenges to interoperate in a seamless manner, especially in implementing grid code requirements and/or in setting-up microgrids. This paper describes how to face such a challenge based on the coming IEC 61850-7-420 object model standard, especially for meeting IEEE 1547 and EN 50549 grid code requirements. A specific focus explains how to benefit from the IEC 61850 based data models in non-IEC 61850 based systems and highlights the potential benefits.</t>
  </si>
  <si>
    <t>Modeling Requirements</t>
  </si>
  <si>
    <t>Summary form only given. Hear about how ATP do the business modeling, how we decide what is going to be handled by an IT-system, how we specify the system use case representing that. On the information side, how we do information concept modeling with the business, how we specify the services and service operations to fit a SOA architecture. How we integrate functionality and information in the description of the use cases, where we describe what the actors do, what the system does, and which service operations make it happen. Hear about the benefits and challenges of using a modeling tool to integrate and keep track of all the models</t>
  </si>
  <si>
    <t>Summary of the SERC generator modeling validation task force (GMVTF)'s on-going development of a SERC supplement to NERC planning standard II.B. (system modeling data requirements - generation equipment)</t>
  </si>
  <si>
    <t>The SERC Engineering Committee commissioned a task force of generator operators and transmission planners, the generator modeling validation task force (GMVTF), to develop such a procedure/supplement of recommended validation practices to ensure that generator dynamic models are maintained consistent with field equipment conditions. The paper presents the draft supplement in which the GMVTF is approaching or has reached a consensus. Also, the draft supplement in which the GMVTF has not fully discussed or has not reached a consensus is also presented.</t>
  </si>
  <si>
    <t>Decision-analytic models for breast cancer: Do currently published models meet the requirements of personalized medicine?</t>
  </si>
  <si>
    <t>To give an insight into the structure and methodology of simulation approaches used for evaluating interventions in breast-cancer. Research increasingly focuses on personalized strategies in medicine. Therefore, conventional clinical studies, genomic and proteomic (-omics) and biomarker studies need to be translated into patient-tailored prediction rules and treatment decisions. Recommendations for future comprehensive breast-cancer simulation are derived based on published simulations and requirements arising from personalized medicine, A systematic literature review is performed and information on study design, simulation framework etc. are extracted. Strengths and limitations are assesed. The review shows how currently available models encompass the underlying biologic disease progression, treatment effects including complications and economic outcomes. We expect that these models are limited with respect to information from -omics and biomarker studies. Discrete-event-simulation and agent-based simulation approaches are discussed. This work provides an essential basis for further simulation approaches to evaluate personalized breast-cancer treatment.</t>
  </si>
  <si>
    <t>Model of the minimum requirements regarding electric and magnetic field strength measurement devices for use in the near-field occupational exposure in compliance testing with respect to the requirements of European Directive 2013/35/EU</t>
  </si>
  <si>
    <t>There are various reasons to want to control the level of the environmental electromagnetic field, and because of this various types of measurement devices are available on the market. This paper discusses the specific requirements for the technical properties of measurement devices, related to the evaluation of electric and magnetic field measurements in occupational near-field exposure with respect to the requirements of Directive 2013/35/EU. The use of sufficient quality measurement devices in the evaluation of workers exposure to electromagnetic field reduce the inter-laboratory variations in the outcome of the evaluation, as well as allow to simplify the protocol of such evaluation and to reduce the costs of evaluation performance.</t>
  </si>
  <si>
    <t>Modeling and simulation in support of understanding maritime security and defense capabilities and requirements (The maritime timeline and analysis requirements toolset (M-TART))</t>
  </si>
  <si>
    <t>Those responsible for the Maritime Security of North America face a daunting task. The breadth of activities in the maritime domain makes it very difficult to achieve an acceptable level of understanding and control. This leaves decision makers to deal with a multi-national challenge that is very much connected to the aerospace, land and cyberspace domains. In order for the decision makers responsible for the Maritime Security and Defense of North America to effectively execute their missions, they require both an understanding of their current capabilities and gaps, and a means to determine the capability requirements to close any identified gaps. This paper presents the Maritime Timeline Analysis and Requirements Toolset (M-TART) as a modeling and simulation solution to address this problem. The M-TART is a deterministic, scenario-based model that accounts for the various states of the maritime event timeline and provides decision makers with statistical and graphical information regarding current capabilities and gaps.</t>
  </si>
  <si>
    <t>Testing grid forming requirements OEM perspective on grid modeling for existing and upcoming grid connection requirements</t>
  </si>
  <si>
    <t>As more and more conventional synchronous generation capacity is replaced by converter-based generation on a global scale, the first grid connection codes with specified grid-forming capability are emerging. However, since grid-forming has not been implemented widely for grid connected operation of large-scale converter-based power plants, the currently known and discussed grid code requirements are considered as still very immature. Equipment manufacturers, do not have full clarity on the possible use-cases of the grid-forming power plants, leaving them to rely on the immature grid code requirements as design targets. The formulation of grid codes, however, misses several interactions that can occur in real applications of large-scale grid-forming power plants. Not understanding these interactions can lead to immature design choices by the equipment manufacturers. This paper highlights some of the issues when manufacturers only focus on fulfilling the grid connection code. For example, over- / under-frequency against time profiles that grid-forming plants shall be capable to withstand. Additional test should be performed that show the required active power production during these frequency changes. This paper proposes a simple grid model, that can be parameterized by grid operators, maybe not directly as grid codes, but as attachments, that allow manufacturers to tune the power plants according to most-likely scenarios when in operation.</t>
  </si>
  <si>
    <t>Modeling requirements for transient stability studies for wind parks</t>
  </si>
  <si>
    <t>In areas where large wind parks are connected to the transmission system, utilities typically require that wind turbines satisfy an established low voltage ride through (LVRT) requirement, that is, they must remain connected and support the system for normally cleared disturbances. This paper discuses and compares the average and full electromagnetic models for the doubly-fed induction generator (DFIG). The models are compared for their response to three phase faults and the differences in results are discussed. Moreover, aggregation of generators is compared with detailed models of the wind park to investigate the influence of the contribution of the individual generators and their local protection features. The results are summarized and a discussion on the tradeoffs of the computational requirements versus accuracy of results is offered</t>
  </si>
  <si>
    <t>Performance requirements modeling and assessment for active power ancillary services</t>
  </si>
  <si>
    <t>New sources of ancillary services are expected in the power system. For large and conventional generation units the dynamic response is well understood and detailed individual measurement is feasible, which factors in to the straightforward performance requirements applied today. For secure power system operation, a reliable service delivery is required, yet it may not be appropriate to apply conventional performance requirements to new technologies and methods. The service performance requirements and assessment methods therefore need to be generalized and standardized in order to include future ancillary service sources. This paper develops a modeling method for ancillary services performance requirements, including performance and verification indices. The use of the modeling method and the indices is exemplified in two case studies.</t>
  </si>
  <si>
    <t>Science Direct</t>
  </si>
  <si>
    <t>Model-based interactive visualization for complex systems requirements and design in joint tests</t>
  </si>
  <si>
    <t>This study presents an interactive visualization-based Model-Based Systems Engineering (MBSE) technique that is especially designed to handle requirements analysis and design issues in joint test settings. Standardized operational requirement description, test requirement analysis, test design, and first test system plan generation are the four primary phases that make up the technique. This method provides a more thorough and approachable depiction of both operational and test requirements by utilizing interactive visualization techniques. This makes it possible for test staff to more accurately and efficiently develop, visualize, and improve test plans. The methodology's efficacy in augmenting the capabilities of joint testing platforms is demonstrated through a thorough case study of a joint test. Higher levels of accuracy and dependability in test results are eventually a result of this approach's strong support for requirements analysis, test design, and the general execution and assessment of joint tests inside complex systems.</t>
  </si>
  <si>
    <t>Comparative Analysis on Requirement Engineering Modelling Techniques Case Study of Personal Al-Haj E-Guide</t>
  </si>
  <si>
    <t>Requirement Engineering is a framework of requirement elicitation, analysis, documentation, validation and requirements management. Object oriented, dynamic and functional modeling techniques are used for requirement engineering process. Many approaches can be adapted during this phase of software development life cycle. UML based, Model oriented, Goal oriented and Business process oriented approaches are discussed in the paper. Modeling techniques are linked with each other but approaches are not. Similarly requirement engineering approaches are not dependent on modeling techniques. Any approach can be used with any modeling technique and this is purely decided by requirement engineers with the help of various constraints like kind of project, its domain, scope, business environment, target end users, stakeholder's need and many more that aggregate as deciding factors of modeling technique and RE approach to be used for that selected modeling technique. Paper has shown comparative analysis of modeling techniques and requirement engineering approaches with the help of case study of Personal A-Hajj E-guide. Data flow diagram, sequence diagram, collaboration diagram and context level data flow diagram are drawn and its impact on approaches is being discussed. Whatever technique and approach is being selected for RE phase, it should be effective enough to produce complete, concise, unambiguous SRS. Planned and managed requirement engineering leads towards successfulness of the project with implementation of defined quality process where modeling techniques play their own vital role. So technique should be well approached to competently achieve quality software products successfully.</t>
  </si>
  <si>
    <t>A Model for Requirements Traceability in a Heterogeneous Model-Based Design Process: Application to Automotive Embedded Systems</t>
  </si>
  <si>
    <t>Requirements traceability modeling is a key issue in real-time embedded design process. In such systems, requirements are of different nature (software-related, system-related, functional or non functional) and must be traced through a multilevel design flow which integrates multiple tools and heterogeneous models. Validation and Verification (V&amp;V) activities must be performed on models and on the final product to check whether they match the initial requirements. Results of design and V&amp;V activities must be able to impact traceability information. We thus propose DARWIN4REQ, a metamodel for requirement traceability, based on three independent flows (requirement model, solution model and V&amp;V model). The new metamodel establishes a link between these flows and affords full traceability of requirements, including those set for heterogeneous models. This paper presents the DARWIN4REQ metamodel and its use in the context of heterogeneous models for requirements modeling, design and V&amp;V. An automotive application illustrates the proposed approach based on UML-profiles such that SYSML, EAST-ADL2 and MARTE for design and on SIMULINK, SyNDEx and TIMESQUARE for V&amp;V activities.</t>
  </si>
  <si>
    <t>Engineering Functional Safety Requirements for Automotive Systems: A Cyber-Physical-Social Approach</t>
  </si>
  <si>
    <t>Several approaches have been developed to assist automotive system manufacturers in designing safer vehicles by complying with functional safety standards. However, most of these approaches either mainly focus on the technical aspects of automotive systems and ignore the social ones, or they are not equipped with an adequate automated support. To this end, we propose a model-based approach for modeling and analyzing the Functional Safety Requirements (FSR) for automotive systems, which is based on the ISO 26262 standard and considers both technical and social aspects of such systems. This approach proposes a UML profile for modeling the FSR starting from item definition until safety validation, and it proposes constraints expressed in OCL to be used for the verification of FSR models. We illustrate the utility of the approach using an example from the automotive domain.</t>
  </si>
  <si>
    <t>A cognitive requirement specification model</t>
  </si>
  <si>
    <t>Eliciting/gathering information from the customers in requirement phase is the most crucial task in the development of the software development process, because this phase builds the base for the success or failure of any software product. Requirements specification process highly depends on the knowledge and mental abilities of the customers. In this paper, we are proposing a cognitive requirement specification model based on the cognitive classification of customers.</t>
  </si>
  <si>
    <t>A Simulation Framework for VRM Requirement Model</t>
  </si>
  <si>
    <t>Model simulation is a research method that can discover and improve system design problems through various experiments without the participation of the actual system. In the field of security critical systems and aeroelectronics, a series of security problems are often caused by large and complex system requirements. In this paper, a simulation framework for VRM formal requirement model is proposed to find and solve the problems that occur during the design phase of system requirements. The work includes: comprehensively analyzing each component of VRM model, relying on SysML model to build simulation sequence, executing simulation event propagation system constraints, and displaying system model status in real time. The framework solves the ambiguity of natural language requirements by using VRM formal requirement model, and designs some SysML modeling methods to help emulators build and refine simulation behaviors through case diagrams.</t>
  </si>
  <si>
    <t>Model and Tools for Multi-dimensional Approach to Requirements Behavior Analysis</t>
  </si>
  <si>
    <t>Requirements modeling and analysis (RMA) are important and weak-formalized activities in the whole requirements engineering framework. In this paper an advanced approach to RMA is proposed, which provides multi-dimensional estimation of requirements in appropriate attribute spaces, with respect to their both static features and dynamic behavior. The given test-case shows a complex requirements behavior and visualizes requirements modeling process, in order to support decision making in software development.</t>
  </si>
  <si>
    <t>Towards Validation of Requirements Models</t>
  </si>
  <si>
    <t>The use of formal methods for software development is escalating over the period of time. The input to this formal specification phase is often the documents obtained during the requirements analysis activity which are either textual or semi-formal. Now there is a traceability gap between analysis and specification phases as verification of the semi-formal analysis model is difficult because of poor understandability of lower level of formalism of verification tools and validation of the formal specification is difficult for customers due to their inability to understand formal models. Our objective is to bridge this gap by a gradual introduction of formalism into the requirement model in order to facilitate its validation.We analyse our requirements with KAOS (Knowledge Acquisition in autOmated Specification) [1] which is a goal-oriented methodology for requirements modeling, then we translate the KAOS goal model, following our derived precise semantics [3], into an Event-B [2] formal specification, and finally we rigourously animate the obtained specification in order to validate its conformance to original requirements with the approach defined in [4].</t>
  </si>
  <si>
    <t>Formal Modeling of Airborne Software High-Level Requirements Based on Knowledge Graph</t>
  </si>
  <si>
    <t>Airborne airworthiness certification DO-178C software release proposes a higher safety and reliability demands of airborne software. This raises great challenges to airborne software modeling and verification. In order to achieve airborne software high-level requirements objectives, we propose a formal method of modeling high-level requirements based on knowledge graph. The method gives a formal language to describe knowledge graph and constructs knowledge graph collaboratively. Then we represents high-level requirements by causal model and formal modeling of high-level functional requirements and non-functional requirements by knowledge graph. These improve the requirement traceability, namely these are helpful to trace the high-level requirements to system requirements so as to achieve high-level requirements’ traceability objective that DO-178C demands. Additionally, we provide the modeling tool for domain experts to construct knowledge graph collaboratively and realize their high-level requirements modeling. We also give some high-level requirements verification. These are significant to generate safe, reliable, accurate and high-quality airborne software.</t>
  </si>
  <si>
    <t>Multi-view Composition Language for Software Product Line Requirements</t>
  </si>
  <si>
    <t>Composition of requirements models in Software Product Line (SPL) development enables stakeholders to derive the requirements of target software products and, very important, to reason about them. Given the growing complexity of SPL development and the various stakeholders involved, their requirements are often specified from heterogeneous, partial views. However, existing requirements composition languages are very limited to generate specific requirements views for SPL products. They do not provide specialized composition rules for referencing and composing elements in recurring requirements models, such as use cases and activity models. This paper presents a multi-view composition language for SPL requirements, the Variability Modeling Language for Requirements (VML4RE). This language describes how requirements elements expressed in different models should be composed to generate a specific SPL product. The use of VML4RE is illustrated with UML-based requirements models defined for a home automation SPL case study. The language is evaluated with additional case studies from different application domains, such as mobile phones and sales management.</t>
  </si>
  <si>
    <t>A quality requirements model and verification approach for system of systems based on description logic</t>
  </si>
  <si>
    <t>System of systems engineering (SoSE) involves the complex procedure of translating capability needs into the high-level requirements for system of systems (SoS) and evaluating how the SoS quality requirements meet their capability needs. One of the key issues is to model the SoS requirements and automate the verification procedure. To solve the problem of modeling and verification, meta-models are proposed to refine both functional and non-functional characteristics of the SoS requirements. A domain-specific modeling language is defined by extending Unified Modeling Language (UML) class and association with fuzzy constructs to model the vague and uncertain concepts of the SoS quality requirements. The efficiency evaluation function of the cloud model is introduced to evaluate the efficiency of the SoS quality requirements. Then a concise algorithm transforms the fuzzy UML models into the description logic (DL) ontology so that the verification can be automated with a DL reasoner. This method implements modeling and verification of high-level SoS quality requirements. A crisp case is used to facilitate and demonstrate the correctness and feasibility of this method.</t>
  </si>
  <si>
    <t>Safety Analysis of Software Requirements: Model and Process</t>
  </si>
  <si>
    <t>Since lots of software hazards are caused by incompleteness or omissions of requirements, safety analysis of software requirements becomes more and more important. However, there are no systematic researches and exposition on the scope and the requirements of safety analysis. Safety analysts often get confused about how to take a complete analysis of software safety requirements. In this paper, referring to the software V&amp;V model, an analysis model is proposed to specify the scope of software requirements safety analysis. Then, a process framework of safety analysis is determined to verify those analysis requirements derived from the analysis model. Relevant software safety analysis techniques which may be used in the analysis process framework were classified. Finally, the analysis model and process were applied to the landing gear control system.</t>
  </si>
  <si>
    <t>The application of hazard and operability studies to real time structured requirements models</t>
  </si>
  <si>
    <t>This paper discusses application of a form of Hazard and Operability Study to Ward/Mellor behavioural and environmental models. It discusses a novel means of capturing the concept of `operability' and illustrates how the method can be applied to a small but realistic case study. Our approach integrates well with both traditional process-industry HAZOP and with the software engineering process.</t>
  </si>
  <si>
    <t>Using RELAX, SysML and KAOS for Ambient Systems Requirements Modeling</t>
  </si>
  <si>
    <t>Ambient Systems are highly adaptive. They modify their behavior at run-time in response to changing environmental conditions. For these systems, Non Functional Requirements (NFR's) play an important role, and one has to identify as early as possible the requirements that are adaptable. Because of the inherent uncertainty in these systems, goal based approaches can help in the development of their requirements. Relax, which is a Requirement Engineering (RE) language for adaptive systems, can introduce ﬂexibility in NFR's to adapt to any changing environmental conditions. We illustrate our proposal through a case study of an Ambient Assisted Living (AAL) system. We use an existing goal oriented approach, based on Kaos, which extends the SysML 11http://www.sysml.org/specsmeta-model and our proposed Domain Speciﬁc Language (DSL) for Relax; that enables to derive requirements in graphical format from textual requirements in the form of SysML requirements diagrams. In this paper we show how we have integrated these two approaches for a better modeling of these systems</t>
  </si>
  <si>
    <t>A demand-to-manufacturing-requirement model based on predefined configurations</t>
  </si>
  <si>
    <t>This paper examines the production planning of a job-shop manufacturing system capable of producing various part types. The demand for the various product types is known at the end of each elementary period. The objective function is the sum of inventory and backlog costs accumulated during a finite period of time known as the horizon of the problem. This horizon is a multiple of the length of an elementary period. We define the new concept of configuration as a set of maximal quantities of each type of parts which can be manufactured during an elementary period of time. This set is chosen either in order to balance the resource loading or to optimize the use of the tools available in the job-shop. We assume that there exists a finite set of configurations. The changeover of the system from one configuration to another is only allowed at the end of an elementary period and introduces a set-up time during which no machine can produce. The control of such a system consists in choosing the sequence of configurations and the actual production levels on each elementary period so as to minimize the objective function. We propose an efficient optimal algorithm for computing the actual production levels on each elementary period when the sequence of configurations (i.e. the sequence of constraints) is given. A heuristic algorithm is also proposed to find a good sequence of configurations.</t>
  </si>
  <si>
    <t>A requirements modeling language and its logic</t>
  </si>
  <si>
    <t>This paper describes some aspects of a Requirements Modeling Language (RML) which can be used in the initial phases of software development. RML is based on the idea that a requirements specification should embody a conceptual world model and that the language for expressing it should provide facilities for organizing and abstracting details, yet at the same time have qualities such as precision, consistency and clarity. RML has a number of novel features including assertion classes, the treatment of time and various abbreviation techniques, all integrated into one uniform object-oriented framework. The precise semantics of these and other features are provided in this paper by relating RML to a logic involving time. This demonstrates that a language can offer highly structured and convenient mechanisms for requirements specifications while having solid mathematical underpinnings.</t>
  </si>
  <si>
    <t>Requirements Modelling of Industrial Real-Time Systems by Automata and Structured Analysis</t>
  </si>
  <si>
    <t>The application of HAZOP studies to integrated requirements models for control systems</t>
  </si>
  <si>
    <t>This paper discusses the relationship between and the potential integration of three mature disciplines, hazard identification, structured and formal methods for control systems specification. In particular the methods used are Hazard and Operability Studies (HAZOPS), Ward and Mellor (W &amp; M) Essential Models and the Calculus of Communicating Systems (CCS). Ward and Mellor models not only provide the required control flow and transformation extensions to capture the essence of control and protective and systems but we also suggest that the modelling philosophy, underpining the Ward and Mellor development method, provides an appropriate model to which the HAZOPS of such systems can be succesfully applied at the requirements stage. Specifically, we can demonstrate how the model can be effectively partitioned to provide the necessary vissibiloty of the systems requirements taht will enable an efficient and effective HAZOP meeting. The paper shows, with appropriate guide works and interpretations, how meaningful deviations from the required intent can be developed. We also show how the interpretation of the model can significantly effect our ability to produce meaningful deviations and what impact this has on the HAZOP process. A particular concern has been that these techniques should be seen as an extension of current good practice within the relevant engineering disciplines. Our approach is illustrated by a small but realistic industrial case study.</t>
  </si>
  <si>
    <t>Case-based analysis in user requirements modelling for knowledge construction</t>
  </si>
  <si>
    <t>Context Learning can be regarded as knowledge construction in which prior knowledge and experience serve as basis for the learners to expand their knowledge base. Such a process of knowledge construction has to take place continuously in order to enhance the learners’ competence in a competitive working environment. As the information consumers, the individual users demand personalised information provision which meets their own specific purposes, goals, and expectations. Objectives The current methods in requirements engineering are capable of modelling the common user’s behaviour in the domain of knowledge construction. The users’ requirements can be represented as a case in the defined structure which can be reasoned to enable the requirements analysis. Such analysis needs to be enhanced so that personalised information provision can be tackled and modelled. However, there is a lack of suitable modelling methods to achieve this end. This paper presents a new ontological method for capturing individual user’s requirements and transforming the requirements onto personalised information provision specifications. Hence the right information can be provided to the right user for the right purpose. Method An experiment was conducted based on the qualitative method. A medium size of group of users participated to validate the method and its techniques, i.e. articulates, maps, configures, and learning content. The results were used as the feedback for the improvement. Result The research work has produced an ontology model with a set of techniques which support the functions for profiling user’s requirements, reasoning requirements patterns, generating workflow from norms, and formulating information provision specifications. Conclusion The current requirements engineering approaches provide the methodical capability for developing solutions. Our research outcome, i.e. the ontology model with the techniques, can further enhance the RE approaches for modelling the individual user’s needs and discovering the user’s requirements.</t>
  </si>
  <si>
    <t>Extension Innovation Design of Product Family Based on Kano Requirement Model</t>
  </si>
  <si>
    <t>By the existing innovation design methods of product family, people can get new products design effectively. However, these methods cannot make their products to meet customers’ demands completely, because they cannot help people to turn customers’ demands into products characteristics using model methods. This paper uses Kano requirement model to find essential demands, clarify customers’ demands, and utilizes extension innovation methods to establish models for the products, which have different characteristics, then uses extensive analysis and extension transformations to obtained new products designs, and finally get innovation designs of product family according to superiority evaluation methods.</t>
  </si>
  <si>
    <t>Agile requirements engineering via paraconsistent reasoning</t>
  </si>
  <si>
    <t>Innovative companies need an agile approach towards product and service requirements, to rapidly respond to and exploit changing conditions. The agile approach to requirements must nonetheless be systematic, especially with respect to accommodating legal and non-functional requirements. This paper examines how to support lightweight, agile requirements processes which can still be systematically modeled, analyzed and changed. We propose a framework, RE-KOMBINE, which is based on a propositional language for requirements modeling called Techne. We define operations on Techne models which tolerate the presence of inconsistencies. This paraconsistent reasoning is vital for supporting delayed commitment to particular design solutions. We evaluate these operations with an industry case study using two well-known formal analysis tools. Our evaluations show that the proposed framework scales to industry-sized requirements model, while still retaining (via propositional logic) the informality that is so useful during early requirements analysis.</t>
  </si>
  <si>
    <t>User requirements modeling and analysis of software-intensive systems</t>
  </si>
  <si>
    <t>The increasing complexity of software systems makes Requirements Engineering activities both more important and more difficult. This article is about user requirements development, mainly the activities of documenting and analyzing user requirements for software-intensive systems. These are modeling activities that are useful for further Requirements Engineering activities. Current techniques for requirements modeling present a number of problems and limitations. Based on these shortcomings, a list of requirements for requirements modeling languages is proposed. The proposal of this article is to show how some extensions to SysML diagrams and tables can fulfill most of these requirements. The approach is illustrated by a list of user requirements for a Road Traffic Management System.</t>
  </si>
  <si>
    <t>Identification of ontologies to support information systems development</t>
  </si>
  <si>
    <t>Ontologies can provide many benefits during information systems development. They can provide domain knowledge to requirement engineers, are reusable software components for web applications or intelligent agent developers, and can facilitate semi-automatic model verification and validation. They also assist in software extensibility, interoperability and reuse. All these benefits critically depend on the provision of a suitable ontology (ies). This paper introduces a semantically-based three stage-approach to assist developers in checking the consistency of the requirements models and choose the most suitable and relevant ontology (ies) for their development project from a given repository. The early requirements models, documented using the i⁎ language, are converted to a retrieval ontology. The consistency of this retrieval ontology is then checked before being used to identify a set of reusable ontologies that are relevant for the development project. The paper also provides an initial validation of each of the stages.</t>
  </si>
  <si>
    <t>Research on Capturing of Customer Requirements Based on Innovation Theory</t>
  </si>
  <si>
    <t>To exactly and effectively capture customer requirements information, a new customer requirements capturing modeling method was proposed. Based on the analysis of function requirement models of previous products and the application of technology system evolution laws of the Theory of Innovative Problem Solving (TRIZ), the customer requirements could be evolved from existing product designs, through modifying the functional requirement unit and confirming the direction of evolution design. Finally, a case study was provided to illustrate the feasibility of the proposed approach.</t>
  </si>
  <si>
    <t>Comparing the comprehensibility of requirements models: An experiment replication</t>
  </si>
  <si>
    <t>Context There are several requirements modeling approaches with differences, for instance, in perspective, abstraction levels, modeling focus, and representation. Therefore, comparing and selecting a requirements modeling approach can be a difficult task. An important requirement for an approach is model comprehensibility. Objective This paper replicates the experiment executed by Hadar et al. (2013) to compare the comprehensibility of Tropos requirements models and Use case models, along with the effort to comprehend the model, and the productivity. Method This replication varies the operationalization, protocol, population, and experimenters, addressing some future works proposed by the original experiment. Only one application domain of the original experiment was considered, but the same questionnaire was used to evaluate model comprehensibility. In addition to the two models of the original experiment, we also considered another Use case template. Results Differently from the original experiment, the results of this replication indicate no difference in model comprehensibility and effort between Tropos and the two Use case models considered. As in the original experiment, the results indicate no difference in productivity. Conclusions Differences in the experiment setting may explain the different results from the original experiment. Yet, it may be difficult to compare requirements approaches with complementary strengths and limitations as the requirements models must have equivalent content and complexity.</t>
  </si>
  <si>
    <t>Specification description analysis method for requirement modeling</t>
  </si>
  <si>
    <t>In the development of software systems, multiple members create models of requirement specifications under the guidance of experienced professionals. In such cases, the time taken to create models and the quality of the resulting models depends on the members’ system development experience and the characteristics of the specifications. Consequently, the cost of modeling and the quality of deliverables can make development more challenging. In this study, we identified the elements necessary to develop models of uniform quality during the process of converting specifications into the requirements analysis model defined in this study. We developed a modeling method that consists of information that should be agreed upon in advance between experienced professionals and members, and patterns of specification description analysis.</t>
  </si>
  <si>
    <t>Goal-ontology approach for modeling and designing ETL processes</t>
  </si>
  <si>
    <t>The data warehouse (DW) system’s design involves several tasks such as defining DW requirements, modeling DW schemas, and specifying ETL processes operations, and these have been studied and practiced for many years. However, the common designrelated problems such as defining user requirements and deriving data integration and transformation activities are far away from being resolved due to the variation and ambiguity of user requirements and the complexity of ETL processes, and these were the fundamental issues of conflicts in heterogeneous information sharing environments. Current approaches are based on existing software requirement methods that have limitations on reconciliation of the user semantics toward the modeling of the DW. This will prolong the process to define the ETL processes specifications accordingly. The semantic framework of DW system development in this paper is focused on the requirement analysis method for designing the ETL processes. The method RAMEPs (Requirement Analysis Method for ETL Processes) was developed to support the design of ETL processes by analyzing and producing the DW requirements as required by the organization, decision-makers, and developers. The ETL processes are modeled and designed by capturing two important facts: i) DW schemas, and ii) data sources integration and transformation. The validation process emphasized on the correctness of the goal-oriented and ontology requirement model, and validated by using compliant tools that can build both models. The correctness of RAMEPs was evaluated in the real case study of a gas utility company in Malaysia. The case study was used to illustrate how the RAMEPs method can be implemented for designing the ETL processes. The RAMEPs approach was reviewed by DW developers for assessing the strength and weakness of this method.</t>
  </si>
  <si>
    <t>Transformations’ Study Between Requirements Models and Business Process Models in MDA Approach</t>
  </si>
  <si>
    <t>Models transformation has become in the last decade, the primary key in the Model Driven Architecture (MDA) approach. Most of these models’ transformation are made between one or many abstraction levels (higher level, average level, or lower level). For that, the Object Management Group (OMG) offers for the MDA approach three abstraction levels, which are “Computation Independent Model” (CIM: the higher abstraction level), “Platform Independent Model” (PIM: average abstraction level) and “Platform Specific Model” (PSM: lower abstraction level). Hitherto, most researchers focused on the transformation between average abstraction level and lower abstraction level because those levels have multiple common points. However, the transformation between higher abstraction level and average abstraction level is rarely discussed because they are two distinct levels that can contain higher abstraction model nature, such as Requirements models and Business Process models. Therefore, our contribution in this paper is to study different transformations approaches between Requirements and Business Process models in the higher and average MDA abstraction levels. To do so, we study the selected approaches, analyze the results descriptively, then discuss them, plus propose new taxonomies based on the deduced evaluation criteria.</t>
  </si>
  <si>
    <t>Product Requirement Modeling and Optimization Method Based on Product Configuration Design</t>
  </si>
  <si>
    <t>Product requirement modeling is a process that the product requirement information is collected, analyzed, structured and converted to the design specification, it is the determinant of the ability to quickly respond to the diverse requirements of customers. This paper presents a product requirement modeling method based on configuration design, which uses “tabular layouts of article characteristics” (SML) technology to conduct the formal expression of product requirement information element. The function structure model and its optimization algorithm are proposed. Enterprises can use the model to interact with customers about requirements and obtain the model which can be manufactured. The customer individual requirements can be satisfied according to the mapping rules of models. Finally, an example of enterprise application is given to illustrate practical application of the research.</t>
  </si>
  <si>
    <t>Analyzing the understandability of Requirements Engineering languages for CSCW systems: A family of experiments</t>
  </si>
  <si>
    <t>Context A collaborative system is a special kind of software whose users can perform collaboration, communication and collaboration tasks. These systems usually have a high number of non-functional requirements, resulting from the users’ need of being aware of other users with whom to collaborate, that is, the workspace awareness. Objective This paper aims at evaluating two Requirements Engineering languages i* and CSRML (an extension of i*) in order to determine which is the most suitable one to specify requirements of collaborative systems, taking into account their special characteristics regarding collaboration and awareness. Method We performed a family of experiments comprising an original experiment and two replicas. They were performed by 30, 45 and 9 Computer Science students, respectively, from Spain and Argentina. These subjects filled in two understandability questionnaires once they analyzed the requirements models of two systems: an e-learning collaborative system and a conference review system with some collaborative aspects support. Both models were specified by using the evaluated languages. Results The statistical analysis of the family of experiments showed that the understandability was higher for the models specified with CSRML than for those specified with i*, especially for collaborative aspects. This result was also confirmed by the meta-analysis conducted. Conclusions CSRML surpasses i* when modeling collaborative systems requirements models due to the specific expressiveness introduced to represent collaboration between users and awareness and the new resorts to manage actors and roles.</t>
  </si>
  <si>
    <t>Distributed system requirement modeling with message sequence charts: the case of the RMTP2 protocol</t>
  </si>
  <si>
    <t>This document describes a case study realized for the INTERVAL european project. The aim of this study was to test time features of MSC'2000 and the real time extensions proposed by the INTERVAL partners The starting point for this study, was an IETF document describing requirements for a multicast protocol called RMTP2. Some significant requirements could not be modeled with MSC 2000, which lead to extension proposals for MSC. The main extension proposed is the introduction of multicast communications in MSC.</t>
  </si>
  <si>
    <t>PRISE: A process to support iStar extensions</t>
  </si>
  <si>
    <t>iStar is a goal-based requirement modelling language, being used both in industrial and academic projects of different domains. Often the language is extended to incorporate new constructs related to an application domain or to adjust it to practical situations during requirements modelling. These iStar extensions have been proposed in an ad hoc way resulting in many problems of incompleteness, inconsistency and conflicts. Recently, the language was standardised, but it continues being extended. Thus, we consider that this is an adequate moment to study how to support the proposals of the next iStar extensions. In this paper, we define PRISE, a process to support the creation of iStar extensions which is driven by model-based development concepts, reuse of existing iStar extensions and guidelines of experts. This process can be customised. We illustrate the usage of PRISE by recreating five existing iStar extensions. Finally, we evaluated PRISE with interviews and a survey with experts; and, we performed an interview to analyse the opinion about the usage of the PRISE to create a new iStar extension by a novice. The evaluation and validation indicate good results to avoid problems and increase the quality of the proposals and well receptivity by the experts and novice.</t>
  </si>
  <si>
    <t>Evaluating requirements modeling methods based on user perceptions: A family of experiments</t>
  </si>
  <si>
    <t>Numerous methods and techniques have been proposed for requirements modeling, although very few have had widespread use in practice. One drawback of requirements modeling methods is that they lack proper empirical evaluations. This means that there is a need for evaluation methods that consider both the theoretical and practical aspects of this type of methods and techniques. In this paper, we present a method for evaluating the quality of requirements modeling methods based on user perceptions. The evaluation method consists of a theoretical model that explains the relevant dimensions of quality for requirements modeling methods, along with a practical instrument with which to measure these quality dimensions. Basically, it allows us to predict the acceptance of a particular requirements modeling method in practice, based on the effort of applying the method, the quality of the requirements artifacts produced, and the user perceptions with regard to the quality of the method. The paper also presents an empirical test of the proposed method for evaluating a Rational Unified Process (RUP) extension for requirements modeling. That test was carried out through a family of experiments conducted with students and practitioners and provides evidence of the usefulness of the evaluation method proposed.</t>
  </si>
  <si>
    <t>An automated change impact analysis approach for User Requirements Notation models</t>
  </si>
  <si>
    <t>Requirements and their models often evolve to reflect changing needs, technologies, and regulations. The decision to implement proposed changes to requirements models relies on means to capture and analyze the potential impact of such changes. The User Requirements Notation (URN) is a standardized requirements modeling language that incorporates two complementary views based on Use Case Maps (UCM), for expressing scenarios and processes bound to architectural components, and on the Goal-oriented Requirement Language (GRL), for capturing the goals of actors and their relationships. This paper presents a new Change Impact Analysis (CIA) approach for URN models. Following a proposed change, this approach helps identify potentially impacted URN constructs within the selected GRL/UCM view, as well as throughout other view elements connected with URN links. This URN-oriented CIA approach is implemented as an extension of the jUCMNav modeling environment, and its applicability is demonstrated using an illustrative URN specification and three real and publicly available specifications. Furthermore, an empirical study involving 10 participants is used to assess the accuracy of this approach in identifying impacted URN elements upon specification changes. Results indicate excellent accuracy and a significant reduction in user-perceived difficulty when estimating the impact of changes in URN specifications.</t>
  </si>
  <si>
    <t>Supporting the acquisition and modeling of requirements in software design</t>
  </si>
  <si>
    <t>This paper describes a system for supporting the construction of software requirement models, which are initial computable models representing users' requirements in software design. The system principally consists of two components, a system for aiding the formation of requirement concepts by visualizing a user's thought space, and a knowledge-based system which automatically assembles the ascertained requirement concepts into a requirement model. The system extracts reusable components of a requirement model, corresponding to the users' abstract requirement concept, from a store of similar past cases. The components are then automatically arranged using heuristic reasoning. By using the system, users can make their requirement concepts more mature, and simultaneously get computable requirement models as by-products.</t>
  </si>
  <si>
    <t>OCLVerifer: Automated verification of OCL contracts in requirements models</t>
  </si>
  <si>
    <t>Object Constraint Language (OCL) is one lightweight formal specification. Integrated within the Unified Modeling Language (UML) standard, it serves as a cornerstone in requirements modeling, enjoying widespread adoption across various domains. OCL can precisely define the pre- and post-condition of system operations and system invariants. While OCL provides a simple yet expressive syntax, it lacks clarity in mapping Object-Oriented (OO) concepts, such as object states, object links, and object attributes. This ambiguity makes it challenging for OO developers to identify errors in requirements. In this paper, we propose an approach named OCLVerifier, which can automatically detect the requirements errors of OCL, such as conflict, redundancy, and failure error. OCLVerifier first transforms OO contracts and detection patterns into SMT formulas and then proves them by using a SMT solver. Finally, the results are mapped to the original OCL contracts to display detailed error type and location information. To evaluate OCLVerifier, we conducted a comprehensive evaluation of four case studies. Experimental results indicate that OCLVerifier successfully identifies 65.5% of error cases, with each identified case offering accurate error location information. Compared with human experts, OCLVerifier can reduce evaluation time by 80.8% while enhancing repair accuracy by 18%. The results are satisfactory, and the proposed approach can be further extended to the software industry for requirements verification.</t>
  </si>
  <si>
    <t>Tailoring ontology retrieval for supporting requirements analysis</t>
  </si>
  <si>
    <t>It is well accepted that domain ontologies can support requirement analysis activities, particularly in detecting inconsistencies and incompleteness of requirement models. These benefits critically depend on the provision of a suitable ontology. We observe the context of supporting requirement analysis provides both opportunities and restrictions when choosing the most appropriate ontology retrieval mechanisms. Requirement models are the basis for retrieving the most influential ontologies and are not the typical retrieval domain ontologies. For instance, a retrieval ontology derived from the requirement is not expected only to be a hierarchical taxonomy, nor is it limited to the boundaries of a single domain, nor does it cover any particular domain completely. Hence, retrieval methods cannot be based on classes only and computational constraints do not necessarily apply as the retrieval process is expected to run only once at the outset of the analysis phase. It is also important to assume that the retrieval in this context is targeting multiple ontologies describing multiple but related domains. In this paper, we deduce that avoiding structural based retrieval mechanisms in fact benefits to the requirement models. Instead, we formulate a new retrieval method based on the PageRank algorithm that takes into account the indirect influences of various concepts within plausible supporting ontologies. This paper provides an empirical analysis that evidences the strength of our retrieval algorithm in supporting the identification of ontologies to support requirement analysis.</t>
  </si>
  <si>
    <t>An iterative approach for model-based requirements engineering in large collaborative projects: A detailed experience report</t>
  </si>
  <si>
    <t>In this paper, we report on our 7 years of practical experience designing, developing, deploying, using, and evolving an iterative Model-based Requirements Engineering (MBRE) approach and language in the context of five large European collaborative projects providing complex software-intensive solutions. Based on significant data sets collected both during project execution and via surveys realized afterward, we demonstrate that such a model-based approach can bring interesting benefits in terms of scalability (e.g., a large number of handled requirements), heterogeneity (e.g., partners with different types of RE background), adaptability and extensibility (e.g., to various project's needs), traceability (e.g., from the requirements to the software components), automation (e.g., documentation generation), consistency and quality (e.g., central model), and usefulness or usability (e.g., actual deployment and practical use). Along the way, we illustrate the application of our MBRE approach and language with concrete elements from these several European collaborative projects. More broadly, we discuss the general benefits and current limitations of using such a model-based approach and corresponding language, as well as the related lessons we learned during these past years.</t>
  </si>
  <si>
    <t>Prototyping System Requirements Model</t>
  </si>
  <si>
    <t>In this paper, we present a tool for automatic prototype generation and analysis (AutoPA2.0) that implements the transformations from UML system requirements models to executable prototypes with the function of checking multiplicity invariants. A UML system requirements model consists of a use-case model and a conceptual class model. Generally, a use case is either described as a system operation which can be defined as a pair of pre and post conditions in the context of the conceptual class model, or described as a sequence of such system operations. AutoPA2.0 can transform the descriptions of use cases into an executable prototype in Java. The execution of each use case is a sequence of basic atomic actions which first check the pre-condition and then enforce the post-condition of the corresponding use case. It helps to improve the understanding between customers and designers. A simple library system is used to explain the method, and illustrate the feasibility of tool as well as its development.</t>
  </si>
  <si>
    <t>Multicriteria requirement ranking based on uncertain knowledge representation and reasoning</t>
  </si>
  <si>
    <t>The abundance of complex natural language descriptions related to requirements data presents major challenges for requirement analysis. Knowledge graphs (KGs), as the latest achievement in symbolic studies, are widely used in various fields due to their rich semantic expressive abilities. However, existing methods that mine resource description framework (RDF) triples in classical KGs cannot effectively capture the fuzzy semantic information in the product development system. To address this, we propose a multicriteria requirement ranking method based on uncertain knowledge representation and reasoning (KRR). First, we defined a model for representing uncertain knowledge to organize diverse data from multiple sources. This process was accomplished by constructing the requirement ontology, which is based on the function-behaviour-structure (FBS) model and requirements modelling-related documents. Next, a knowledge representation approach named the fuzzy requirement knowledge graph (FRKG) was devised by combining attribute confidence and predicate fuzziness. Then, knowledge reasoning rules were designed to enhance the edges in the FRKG, unveiling potential relationships between nodes. Utilizing the enriched FRKG (EFRKG), we proposed a multicriteria requirement ranking method based on grey relational analysis (GRA). To validate the effectiveness of the proposed approach, we conducted a case study involving unmanned aerial vehicles (UAVs). Furthermore, the semantic extension capability of FRKG was evaluated, and a comparison with traditional multicriteria requirement ranking methods was performed to demonstrate the efficiency of the proposed approach from both perspectives.</t>
  </si>
  <si>
    <t>User requirement modeling and evolutionary analysis based on review data: Supporting the design upgrade of product attributes</t>
  </si>
  <si>
    <t>In recent years, an increasing number of studies have focused on user requirement modeling based on online review texts. However, traditional methods often overlook the integration of user requirement models with product design frameworks, failing to effectively transform dynamically changing user requirements into a basis for product attribute upgrades. This paper proposes a user requirement modeling and evolutionary analysis method based on review data, supporting the design upgrade of product attributes. This approach differs from traditional user requirement modeling and analysis methods in two main aspects: (1) integrating the designer’s product design framework into the classification and modeling of user requirements; (2) analyzing the dynamic changes in user requirements during product upgrades and formulating new product attribute upgrade strategies. Initially, the study extracts three categories of product attributes that designers are concerned about from the review data: function (F), structure (S), and parameters (P), and establishes a correlation model between these product attributes. Subsequently, using natural language processing technology to calculate sentiment scores for product attributes and employing the Multi-Layer Perceptron (MLP) model to analyze the impact of product attribute sentiment on user satisfaction, the study constructs the FSP-Kano model, achieving classification and modeling of user requirements for these three categories of product attributes. Finally, based on the dynamic changes in user requirements within the FSP-Kano model, strategies for upgrading next-generation products are formulated. Additionally, the study illustrates the proposed method with the example of BYD’s “Qin” series of new energy vehicles. Our research demonstrates that the proposed method can accurately and comprehensively extract user requirements and develop successful product attribute improvement strategies for the next generation of products.</t>
  </si>
  <si>
    <t>Pseudo software: A mediating instrument for modeling software requirements</t>
  </si>
  <si>
    <t>A new synthesis of software requirements models called pseudo software is proposed with the aim to cut requirements-related errors. Pseudo software achieves this aim by serving as a mediating instrument to empower stakeholders to participate in requirements elicitation and validation through model construction and manipulation, and to provide guidance to the development team to correctly interpret the requirements in the downstream development activities. Pseudo software obtains its traits as a mediating instrument through the choice of requirements information bits and the use of multimodal representations with tool support to integrate the requirements. Using historical data of fifty projects in the enterprise computing domain, pseudo software is shown to effectively cut the requirements-related errors committed by both the customer and the development team.</t>
  </si>
  <si>
    <t>Intention-oriented programming support for runtime adaptive autonomic cloud-based applications</t>
  </si>
  <si>
    <t>The continuing high rate of advances in information and communication systems technology creates many new commercial opportunities but also engenders a range of new technical challenges around maximising systems’ dependability, availability, adaptability, and auditability. These challenges are under active research, with notable progress made in the support for dependable software design and management. Runtime support, however, is still in its infancy and requires further research. This paper focuses on a requirements model for the runtime execution and control of an intention-oriented Cloud-Based Application. Thus, a novel requirements modelling process referred to as Provision, Assurance and Auditing, and an associated framework are defined and developed where a given system’s non/functional requirements are modelled in terms of intentions and encoded in a standard open mark-up language. An autonomic intention-oriented programming model, using the Neptune language, then handles its deployment and execution.</t>
  </si>
  <si>
    <t>Model driven approach for real-time requirement analysis of multi-agent systems</t>
  </si>
  <si>
    <t>Software systems can fail when requirement constraints are overlooked or violated. With the increased complexity of software systems, software development has become more reliant on model driven development. The paper advocates a model driven approach to ensure real-time requirement constraints are taken into account prior to the design of a multi-agent system (MAS). The paper presents the synthesis of a real-time metamodel to support requirements analysis of a MAS. The metamodel describes a collection of modelling units and constraints that can be used to identify the real-time requirements of a multi-agent system during the analysis phase. The paper takes the view that the earlier you model real-time requirements in the software development life cycle, the more reliable and robust the resultant system will be. Furthermore, the more likely it is an appropriate balance between competing time requirements will be achieved. The paper also presents a validation of the metamodel in a Call Management MAS application. This provides a preliminary evidence of the coverage and validity of the metamodel presented.</t>
  </si>
  <si>
    <t>Requirements Structure for System Requirements Formal Modelling, Verification and Validation</t>
  </si>
  <si>
    <t>Requirements engineering (RE) is essential for system design because incorrect or incomplete RE can lead to misunderstandings, gaps, and mistakes that can negatively affect projects. Higher-quality requirements can reduce errors. However, verification and validation (V&amp;V) of requirements qualities is challenging. Formal modeling enables automation for early V&amp;V of large requirements sets. The use of patterns improves requirements quality, but gaps still exist in formal modeling and V&amp;V methodologies. This paper presents a system requirements conceptual model with requirements writing patterns that enable the systems requirements modeling and V&amp;V, along with a comparative analysis with existing concepts in the literature.</t>
  </si>
  <si>
    <t>Change impact analysis for requirements: A metamodeling approach</t>
  </si>
  <si>
    <t>Context Following the evolution of the business needs, the requirements of software systems change continuously and new requirements emerge frequently. Requirements documents are often textual artifacts with structure not explicitly given. When a change in a requirements document is introduced, the requirements engineer may have to manually analyze all the requirements for a single change. This may result in neglecting the actual impact of a change. Consequently, the cost of implementing a change may become several times higher than expected. Objective In this paper, we aim at improving change impact analysis in requirements by using formal semantics of requirements relations and requirements change types. Method In our previous work we present a requirements metamodel with commonly used requirements relation types and their semantics formalized in first-order logic. In this paper the classification of requirements changes based on structure of a textual requirement is provided with formal semantics. The formalization of requirements relations and changes is used for propagating proposed changes and consistency checking of proposed changes in requirements models. The tool support for change impact analysis in requirements models is an extension of our Tool for Requirements Inferencing and Consistency Checking (TRIC). Results The described approach for change impact analysis helps in the elimination of some false positive impacts in change propagation, and enables consistency checking of changes. Conclusion We illustrate our approach in an example which shows that the formal semantics of requirements relations and change classification enables change alternatives to be proposed semi-automatically, the reduction of some false positive impacts and contradicting changes in requirements to be determined.</t>
  </si>
  <si>
    <t>Comparing the comprehensibility of requirements models expressed in Use Case and Tropos: Results from a family of experiments</t>
  </si>
  <si>
    <t>Context Over the years, several modeling languages for requirements have been proposed. These languages employ different conceptual approaches, including scenario-based and goal-oriented ones. Empirical studies providing evidence about requirements model comprehensibility are rare, especially when addressing languages that belong to different modeling approaches. Objective This work aims to compare the comprehensibility of requirements models expressed in different but comparable modeling approaches from a requirements analysts’ perspective. In particular, in this paper we compare the comprehensibility of requirements models expressed in two visual modeling languages: Use Case, which is scenario-based, and Tropos, which exploits goal-oriented modeling. We further compare the effort required for comprehending the different models, and the derived productivity in each case. Method Requirements model comprehensibility is measured here in the context of three types of tasks that analysts usually perform, namely mapping between textual description and the model elements, reading and understanding the model irrespectively of the original textual description, and modifying the model. This experimental evaluation has been conducted within a family of controlled experiments aiming at comparing the comprehensibility of Use Case and Tropos requirements models. Three runs of the experiment were performed, including a first experiment and two replications, involving 79 subjects overall (all of which were information systems students). The data for each experiment was separately analyzed, followed by a meta-analysis of the three experiments. Results The experimental results show that Tropos models seem to be more comprehensible with respect to the three types of requirements analysis tasks, although more time consuming than Use Case models. Conclusions Measuring model comprehensibility by means of controlled experiments is feasible and provides a basis for comparing Tropos and Use Case models, although these languages belong to different modeling approaches. Specifically, Tropos outperformed Use Case in terms of comprehensibility, but required more effort leading to a similar productivity of the two languages.</t>
  </si>
  <si>
    <t>Model Based Requirements Engineering for the Development of Modular Kits</t>
  </si>
  <si>
    <t>The introduction of modular design increases complexity within product development and especially within Requirements Engineering. To handle this complexity, the approach of Model Based Systems Engineering is applied in this contribution. First, the origins of complexity in modular product development are introduced. Key challenges within Requirements Engineering are drawn up and then verified. A modeling method for requirements of modular kits is introduced and validated in the series development of hybrid drivetrain systems at a German automotive manufacturer. Increases in quality and a requirements reusability of over 80% were achieved. Thus, the capability of the modeling method is verified.</t>
  </si>
  <si>
    <t>A method and tool for tracing requirements into specifications</t>
  </si>
  <si>
    <t>The creation of a consistent system description is a challenging problem of requirements engineering. Formal and informal reasoning can greatly contribute to meet this challenge. However, this demands that formal and informal reasoning and the system description are connected in such a way that the reasoning permits drawing conclusions about the system description. We describe an incremental approach to requirements modelling and validation that incorporates formal and informal reasoning. Our main contribution is an approach to requirements tracing that delivers the necessary connection that links the reasoning to the system description. Formal refinement is used in order to deal with large and complex system descriptions. We discuss tool support for our approach to requirements tracing that combines informal requirements modelling with formal modelling and verification while tracing requirements among each other and into the formal model.</t>
  </si>
  <si>
    <t>Model-Based Requirement Engineering to Support Development of Complex Systems</t>
  </si>
  <si>
    <t>About 90% of the innovations on today’s vehicles are driven by electrics/electronics or software functions. This shifts the focus from a component-oriented perspective to a function-oriented view in engineering. At the same time, descriptions of systems and subsystems are required in order to coordinate collaboration with suppliers. These different views on the system under development essentially affect requirements engineering. On the one hand, information have to be provided, e.g., for requirement specifications for single systems. On the other hand, requirements have to be defined for functions realized on different systems and subsystems. This paper presents a concept for model-based requirement engineering supporting to gather and provide requirements needed for different views within the automotive development process. The concept presented is based on five partial models representing the emerging automotive system from an abstract concept (use cases) to a solution (system structure). Each of the partial models, namely use cases, functions, function realization, system structure and product structure are described with regard to required artifacts and their relations based on object-oriented modeling. These artifacts and relations serve for the allocation of requirements or can be specified by existing requirements. The proposed concept support different views upon the vehicle system and allow to generate structured, consistent documents, like requirements specifications for single systems within the development process. At the same time, the impact of changes concerning single requirements, use cases, functions or systems can be analyzed. The application of the proposed concept is highlighted using the example of an electric vehicle.</t>
  </si>
  <si>
    <t>Modelling and reasoning about security requirements in socio-technical systems</t>
  </si>
  <si>
    <t>Modern software systems operate within the context of larger socio-technical systems, wherein they interact—by exchanging data and outsourcing tasks—with other technical components, humans, and organisations. When interacting, these components (actors) operate autonomously; as such, they may disclose confidential information without being authorised, wreck the integrity of private data, rely on untrusted third parties, etc. Thus, the design of a secure software system shall begin with a thorough analysis of its socio-technical context, thereby considering not only technical attacks, but also social and organisational ones. In this paper, we propose the STS approach for modelling and reasoning about security requirements. In STS, security requirements are specified, via the STS-ml requirements modelling language, as contracts that constrain the interactions among the actors in the socio-technical system. The requirements models of STS-ml have a formal semantics which enables automated reasoning for detecting possible conflicts among security requirements as well as conflicts between security requirements and actors' business policies. We apply STS to a case study about e-Government, and report on promising scalability results of our implementation.</t>
  </si>
  <si>
    <t>Statecharts based requirements analysis: Deriving user oriented models</t>
  </si>
  <si>
    <t>One approach to enhance the requirements analysis is the active participation of users in the analysis process. User oriented requirements models, i.e. models which do not include information irrelevant to the viewpoint of the user, improve the communication between the users and the analyst. Our approach in producing user oriented models is based on the use of Statecharts language and Statemate tool during the requirements analysis. We construct the requirements model in such a method that the user models can easily be extracted from the full requirements model which is used as a basis for the design. Or - in a vice-versa approach - the full requirements model can be built on the user models. The models are graphic, easy to understand and precise. The user models are an integral part of the full model and, on the other hand, applicable as such to be used as user's guides.</t>
  </si>
  <si>
    <t>review</t>
  </si>
  <si>
    <t>Reusability in goal modeling: A systematic literature review</t>
  </si>
  <si>
    <t>Context: Goal modeling is an important instrument for the elicitation, specification, analysis, and validation of early requirements. Goal models capture hierarchical representations of stakeholder objectives, requirements, possible solutions, and their relationships to help requirements engineers understand stakeholder goals and explore solutions based on their impact on these goals. To reuse a goal model and benefit from the strengths of goal modeling, we argue that it is necessary (i) to make sure that analysis and validation of goal models is possible through reuse hierarchies, (ii) to provide the means to delay decision making to a later point in the reuse hierarchy, (iii) to take constraints imposed by other modeling notations into account during analysis, (iv) to allow context dependent information to be modeled so that the goal model can be used in various reuse contexts, and (v) to provide an interface for reuse. Objective: In this two-part systematic literature review, we (i) evaluate how well existing goal modeling approaches support reusability with our five desired characteristics of contextual and reusable goal models, (ii) categorize these approaches based on language constructs for context modeling and connection to other modeling formalisms, and then (iii) draw our conclusions on future research themes. Method: Following guidelines by Kitchenham, the review is conducted on seven major academic search engines. Research questions, inclusion criteria, and categorization criteria are specified, and threats to validity are discussed. A final list of 146 publications and 34 comparisons/assessments of goal modeling approaches is discussed in more detail. Results: Five major research themes are derived to realize reusable goal models with context dependent information. Conclusion: The results indicate that existing goal modeling approaches do not fully address the required capabilities for reusability in different contexts and that further research is needed to fill this gap in the landscape of goal modeling approaches.</t>
  </si>
  <si>
    <t>Approach for model-based requirements engineering for the planning of engineering generations in the agile development of mechatronic systems</t>
  </si>
  <si>
    <t>The crucial factor for a successful usage of modeling approaches of systems engineering is the interaction of language, method, and tool. For this, specific challenges arise for the application of MBSE in agile requirements engineering. From observations in agile development practice at a machine tool manufacturer, the challenges for model-based requirements engineering are described and each is assigned to its critical aspect of modeling: The language must formally represent the requirements data model, especially for planning engineering generations. The tool must support collaborative, interdisciplinary cooperation, and consider the dynamics of the requirements model during the development process. The method must individually support the requirements engineering activities, which are carried out several times in a sprint during the development process and must enable a target-oriented process for bundling the requirements into engineering generations. Taking these demands into account, an approach is then presented providing activity-based views in conjunction with activity steps based on a consistent ontology for the description of product requirements and verification activities. The activity steps are composed in activity patterns and support the user in making use of the views for modeling requirements for the engineering generations. The approach is implemented in the software JIRA at a machine tool manufacturer. The subsequent evaluation shows that the approach is used in development practice and offers the potential to plan engineering generation systematically and comprehensibly and to ensure a regular review of the implemented requirements.</t>
  </si>
  <si>
    <t>Efficient Impact Analysis of Changes in the Requirements of Manufacturing Automation Systems</t>
  </si>
  <si>
    <t>Various drivers, especially increasing market dynamics, force industrial enterprises to evolve their production facilities ever more frequently. Analyzing the impact of changed requirements on the production facilities early in the engineering process would facilitate the estimation of resulting costs and therefore reduce project risk. In industrial practice, requirements specifications are typically textual lists and only structured by a table of contents; an analysis of the impact of changes within the requirements specification is extensive, as no documented information is available about how the requirements and other elements of the requirements specification depend on each other. To identify impacts of changes in a requirements specification more efficiently, this paper proposes a model-based approach that classifies the elements of a requirements specification according to their contents and based on the classification preselects automatically candidate elements of the requirements specification that are possibly affected by the change. This paper shows the application of the approach on the manufacturing automation systems domain by means of a pick and place unit (PPU) demonstrator. The technical validation demonstrates that in the example of the PPU the impact analysis is more efficient with a content model than on an unstructured list; the effort for impact analysis is reduced further when adapting the content model to the manufacturing automation systems domain.</t>
  </si>
  <si>
    <t>Aspects of modelling requirements in very-large agile systems engineering</t>
  </si>
  <si>
    <t>Using models for requirements engineering (RE) is uncommon in systems engineering, despite the widespread use of model-based engineering in general. One reason for this lack of use is that formal models do not match well the trend to move towards agile developing methods. While there exists work that investigates challenges in the adoption of requirements modelling and agile methods in systems engineering, there is a lack of work studying successful approaches of using requirements modelling in agile systems engineering. To address this gap, we conducted a case study investigating the application of requirements models at Ericsson AB, a Swedish telecommunications company. We studied a department using requirements models to bridge agile development and plan-driven development aspects. We find that models are used to understand how requirements relate to each other, and to keep track with the product’s evolution. To cope with the effort to maintain models over time, study participants suggest to rely on text-based notations that bring the models closer to developers and allow integration into existing software development workflows. This results in tool trade-offs, e.g., losing the possibility to control diagram layout.</t>
  </si>
  <si>
    <t>Supporting agent oriented requirement analysis with ontologies</t>
  </si>
  <si>
    <t>Requirements analysis activities underpin the success of the software development lifecycle. Subsequent errors in the requirements models can propagate to models in later phases and become much costlier to fix. Errors in requirement analysis are more likely in developing complex systems. Particularly, errors due to miscommunication and misinterpretation of a client׳s intentions are common. Ontologies relying on formal descriptions of semantics have often been used in multi agent systems (MAS) development to support various activities and generally improve the complex systems produced. However, their use during requirements analysis to validate match with the client׳s conceptualisation is largely unexplored. This article presents an ontology driven validation process to support requirement analysis of MAS models. This process is underpinned by an agent-based metamodel that describes commonly used informal agent requirement models. The process concurrently and incrementally validates the informal MAS requirement models produced. The synthesis of the process is first justified and illustrated in a manual tracing of the process. The paper then describes an interactive support tool to harness the formal semantics of ontologies and by pass the costly manual effort. The validation process is evaluated and illustrated using three case studies.</t>
  </si>
  <si>
    <t>Requirements modeling languages for software product lines: A systematic literature review</t>
  </si>
  <si>
    <t>Context: Software product lines (SPLs) have reached a considerable level of adoption in the software industry, having demonstrated their cost-effectiveness for developing higher quality products with lower costs. For this reason, in the last years the requirements engineering community has devoted much effort to the development of a myriad of requirements modelling languages for SPLs. Objective: In this paper, we review and synthesize the current state of research of requirements modelling languages used in SPLs with respect to their degree of empirical validation, origin and context of use, level of expressiveness, maturity, and industry adoption. Method: We have conducted a systematic literature review with six research questions that cover the main objective. It includes 54 studies, published from 2000 to 2013. Results: The mean level of maturity of the modelling languages is 2.59 over 5, with 46% of them falling within level 2 or below -no implemented abstract syntax reported-. They show a level of expressiveness of 0.7 over 1.0. Some constructs (feature, mandatory, optional, alternative, exclude and require) are present in all the languages, while others (cardinality, attribute, constraint and label) are less common. Only 6% of the languages have been empirically validated, 41% report some kind of industry adoption and 71% of the languages are independent from any development process. Last but not least, 57% of the languages have been proposed by the academia, while 43% have been the result of a joint effort between academia and industry. Conclusions: Research on requirements modeling languages for SPLs has generated a myriad of languages that differ in the set of constructs provided to express SPL requirements. Their general lack of empirical validation and adoption in industry, together with their differences in maturity, draws the picture of a discipline that still needs to evolve.</t>
  </si>
  <si>
    <t>A modeling language to support early lifecycle requirements modeling for systems engineering</t>
  </si>
  <si>
    <t>The current implementation of the SysML tends to be design-centric with minimal support for activities upstream of design such as product line engineering, goal conflict resolution and hazard/threat modeling. Furthermore, currently provided extensions, such as those for business modeling, tend to be narrowly focused. This paper describes ongoing research in providing systems engineering support for activities that take place prior to system requirements definition, including resolving goal conflicts, identifying and mitigating potential hazards and threats, and specifying features and feature variations in product lines. A new modeling language is proposed (referred to as the Unified Requirements Modeling Language). The core concepts of a single meta-model for requirements engineering are presented alongside exemplary usage showing the power of the language together with its graphical notation. The meta-model, for the first time, proposes a formal relationship between various types of actors, goals, requirements, product line components, and hazard and threat modeling artifacts that integrates with both UML and SysML.</t>
  </si>
  <si>
    <t>Incremental Synchronization of Organizational Models, Requirements Models and Object-oriented Software Design Models</t>
  </si>
  <si>
    <t>The model synchronization between analysis and design artifacts in most cases is still a manual and error-prone process. With the arising of Model-Driven Architecture methodology, automatic transformation between models is mostly possible and can be defined using graph transformation language. Hence models, their corresponding meta-models and model transformation code now become first-class artifacts in software development. Existing model-driven software design derivation approaches usually lack support of bidirectional incremental synchronization between source and target models. Moreover, proposing the full automatic software design derivation, most approaches require some kind of specification on design decision either in a source model or in a transformation definition. The specification in a source model creates a problem of mixture of several concerns in one artifact. The specification in a transformation definition creates a problem of overcomplicated transformations using the languages that were not designed for modeling purpose, making these definitions very hard to comprehend and reuse. This paper argues that artifacts of organizational models, requirements models and software design contain related information that is specified by different means and can be synchronized using incremental bidirectional approach. However, other information that is specific for each artifact should be specified manually in each of the corresponding models.</t>
  </si>
  <si>
    <t>Requirements engineering tools: Capabilities, survey and assessment</t>
  </si>
  <si>
    <t>Context There is a significant number of requirements engineering (RE) tools with different features and prices. However, existing RE tool lists do not provide detailed information about the features of the tools that they catalogue. It would therefore be interesting for both practitioners and tool developers to be aware of the state-of-the-art as regards RE tools. Objective This paper presents the results of a survey answered by RE tool vendors. The purpose of the survey was to gain an insight into how current RE tools support the RE process by means of concrete capabilities, and to what degree. Method The ISO/IEC TR 24766:2009 is a framework for assessing RE tools’ capabilities. A 146-item questionnaire based principally on the features covered by this international guideline was sent to major tool vendors worldwide. A descriptive statistical study was then carried out to provide comparability, and bivariate correlation tests were also applied to measure the association between different variables. A sample of the tools was subjected to neutral assessment and an interrater reliability analysis was performed to ensure the reliability of the results. Results The 38 participants sent back their answers. Most tools are delivered under a proprietary license, and their licenses are not free. A growing number of them facilitate Web access. Moreover, requirements elicitation exemplifies the best supported category of features in this study, whereas requirements modeling and management are the most badly supported categories. Conclusion The RE process seems to be well covered by current RE tools, but there is still a certain margin for amelioration, principally with regard to requirements modeling, open data model and data integration features. These subjects represent areas for improvement for RE tool developers. Practitioners might also obtain useful ideas from the study to be taken into account when selecting an appropriate RE tool to be successfully applied to their work.</t>
  </si>
  <si>
    <t>PLANT: A pattern language for transforming scenarios into requirements models</t>
  </si>
  <si>
    <t>Despite their important role in software development, scenarios suffer from several major drawbacks. To remedy these drawbacks, this paper presents a pattern language as means of connection between scenarios and their target models. The pattern language contains four patterns: Establishing the Story Line, Elaborating Things that Change, Identifying Agents and Their Interactions, and Unraveling the Goal and its Subgoals. Each of these patterns connects one aspect of a given scenario to a conceptual model and offers guidelines for converting this aspect into a target model. Together, these four patterns transform a scenario into four interrelated requirements models. These scenario aspects are identified according to the concepts of scenarios used in both Cognitive Science and Requirements Engineering. This paper first lays out the theoretical foundation of this pattern language and then gives a detailed description, illustration and assessment of this language.</t>
  </si>
  <si>
    <t>Emotion-led modelling for people-oriented requirements engineering: The case study of emergency systems</t>
  </si>
  <si>
    <t>In the field of design, it is accepted that users’ perceptions of systems are influenced by emotion as much as cognition, and functionally-complete products will not be adopted if they do not appeal to emotions. While software engineering methodologies have matured to handle non-functional requirements such as usability, what has not been investigated fully is the emotional needs of people. That is, what do users want to feel, and how do they feel about a system? In this paper, we argue that these emotional desires should be treated as first-class citizens in software engineering methodology, and present preliminary work on including emotions in requirements models using emotional goals. We evaluate these models both with a controlled user study, and on a case study of emergency systems for older people. The results of the controlled user study indicate that people are comfortable interpreting and modifying our models, and view the inclusion of emotions as first-class entities as a positive step in software engineering. The results of our case study indicate that current emergency systems fail to address the emotional needs their users, leading to low adoption and low usage. We conceptualised, designed, and prototyped an improved emergency system, and placed it into the homes of nine older people over a period of approximately two weeks each, showing improved user satisfaction over existing systems.</t>
  </si>
  <si>
    <t>Transforming and tracing reused requirements models to home automation models</t>
  </si>
  <si>
    <t>Context Model-Driven Software Development (MDSD) has emerged as a very promising approach to cope with the inherent complexity of modern software-based systems. Furthermore, it is well known that the Requirements Engineering (RE) stage is critical for a project’s success. Despite the importance of RE, MDSD approaches commonly leave textual requirements specifications to one side. Objective Our aim is to integrate textual requirements specifications into the MDSD approach by using the MDSD techniques themselves, including metamodelling and model transformations. The proposal is based on the assumption that a reuse-based Model-Driven Requirements Engineering (MDRE) approach will improve the requirements engineering stage, the quality of the development models generated from requirements models, and will enable the traces from requirements to other development concepts (such as analysis or design) to be maintained. Method The approach revolves around the Requirements Engineering Metamodel, denominated as REMM, which supports the definition of the boilerplate based textual requirements specification languages needed for the definition of model transformation from application requirements models to platform-specific application models and code. Results The approach has been evaluated through its application to Home Automation (HA) systems. The HA Requirement Specification Language denominated as HAREL is used to define application requirements models which will be automatically transformed and traced to the application model conforming to the HA Domain Specific Language. Conclusions An anonymous online survey has been conducted to evaluate the degree of acceptance by both HA application developers and MDSD practitioners. The main conclusion is that 66.7% of the HA experts polled strongly agree that the automatic transformation of the requirements models to HA models improves the quality of the HA models. Moreover, 58.3% of the HA participants strongly agree with the usefulness of the traceability matrix which links requirements to HA functional units in order to discover which devices are related to a specific requirement. We can conclude that the experts we have consulted agree with the proposal we are presenting here, since the average mark given is 4 out of 5.</t>
  </si>
  <si>
    <t>Intelligent Digital Twin in Health Sector: Realization of a Software-Service for Requirements- and Model-based-Systems-Engineering</t>
  </si>
  <si>
    <t>The concept of the intelligent Digital Twin focuses on automatic model creation and model extension for a product throughout its lifecycle using artificial intelligence. To create an intelligent Digital Twin, the Digital Twin architecture must also include software services that support machine learning algorithms. These software services must have two characteristics. First, an interface to the real environment to dynamically receive feedback from an existing product or a product under development. Second, machine learning algorithms that analyze and manage the Digital Twin's models based on feedback from the real product. In this paper, we present the concept and implementation of a software service within the intelligent Digital Twin's architecture for automated requirements modeling as well as for modeling of the product system architecture. Since medical devices differ significantly in their applied technology, area of use, and application, the requirement engineering of medical devices needs to identify and specify the critical design requirements for each product individually. This makes automated requirement engineering and Model-based-Systems Engineering of medical devices very challenging. The implemented intelligent software service meets these challenges for product design in the healthcare sector.</t>
  </si>
  <si>
    <t>Developing a Novel Holistic Taxonomy of Security Requirements</t>
  </si>
  <si>
    <t>Defining security requirements is of prime importance for all systems; we usually study the generic ones like confidentiality, integrity, availability, authentication, non-repudiation and privacy. It is thus imperative to evaluate all the possible extended requirements. A literature review has shown that there are various and different security requirements models, some of which are examined and others are neglected. Moreover, security lacks a unified taxonomy of security requirements. In this paper, we refer to the variety of security requirements models from the literature to drive an aggregate model and move away from the individualistic proposed taxonomy to a hierarchical and standard security requirement model. We define and propose a novel and holistic security requirement taxonomy at two levels of abstraction that incorporates 13 basic and standard requirements and then refined in layers into 31 security requirements sub-factors. These requirements are discussed in the open literature. Our taxonomy offers a good understanding of security constraints relevant to the system functions in the field of computer security. When it comes to decision making, it is recommended to establish which security measures should be relevant to the entire security requirements taxonomy.</t>
  </si>
  <si>
    <t>Towards model-based requirements engineering: Construction method of stakeholder value networks model based on MBSE</t>
  </si>
  <si>
    <t>Stakeholder Value Networks (SVN) is a method for identifying and prioritizing stakeholders and their associated requirements in complex engineering systems. Academics and companies have made great strides in the theoretical research and case studies of constructing the Stakeholder Value Networks Model (SVNM). However, most of the developed cases lack a modularized, scalable and traceable construction method to codify SVNM for stakeholders and requirements prioritization, which leads to problems such as low reuse rate of the model elements, poor configuration flexibility and lack of ability to connect with the analysis platform and system model. To address these issues, we propose a construction method of the SVNM based on Model-Based Systems Engineering (MBSE) from the perspective of model reusability, consistency and continuity. In this method, a SVNM is gradually constructed by using the MBSE modeling method “ARCADIA”, the MBSE modeling software “Capella” and some open-source add-ons. The model includes two steps of the mapping and quantifying in SVN method and can be connected to an analysis platform named Dependency Structure Matrix (DSM) modelling platform to implement the remaining steps of searching and analyzing. Furthermore, the results of the search and analysis can be used to prioritize stakeholders and requirements and recorded in the MBSE environment by modeling Stakeholder Requirements (SHRs). Then, we demonstrate the applicability of this method based on a case study of Robotic Vertical Farming Systems (RVFS). Finally, the RVFS-SVNM are modeled and analyzed in ARCADIA/Capella and DSM modeling platform, and the RVFS-SHRs are recorded in ARCADIA/Capella. The method can enable the prioritization of stakeholders and requirements to trace the entire system model and drive requirements engineering toward Model-Based Requirements Engineering (MBRE).</t>
  </si>
  <si>
    <t>A new Requirements Engineering approach for Manufacturing based on Petri Nets</t>
  </si>
  <si>
    <t>Manufacturing systems are going through strategic changes to move from current massive customization production process towards new digital models - also called Industry 4.0. Process planning for this new approaches demand artificial intelligent and requirements modeling that should be formally verified. Therefore, requirements for manufacturing - eventually distributed - processes should be formalized and analyzed to lead to effective smart solutions. Goal-oriented requirements appear as a suitable approach to requirements but still need a formal representation that could deal with discrete distributed plants. Finding such representation is a key issue to model and verify requirements. This paper presents a method and a framework to put together goal-oriented requirements and Petri Nets, as an alternative to the requirements for manufacturing systems capable to deal with digital twins. A classic example associated to a car manufacturing plant is also presented to illustrate the method.</t>
  </si>
  <si>
    <t>Automatic generation of Web service for the Praxeme software aspect from the ReLEL requirements model</t>
  </si>
  <si>
    <t>Praxeme is an enterprise methodology that combines the two approaches SOA and MDA to build an information system. It is based on the ideology of separating the business concern into a homogeneous set called "aspect" to better control the usual complexity of a system. The instantiation of the ReLEL requirements model in the Praxeme methodology is an interesting approach to improve the quality of the software development process because it not only allows to specify the user requirements but also to represent the very precise conceptual level of the future system to be designed. Therefore, this article deals with the automatic generation of SOAP web services that represent the software aspect of the Praxeme methodology from the intentional aspect specified by the ReLEL requirements model. To achieve this, we proceeded in two steps, namely the proposal of the rules for deriving the Praxeme Logical Factory Model (logical aspect) into a Web Service Description Language model or WSDL (software aspect) classified as Model to Model Transformation (M2M) in the MDA approach and then the proposal of the rules for translating the WSDL model into a WSDL document known as Model to Text Translation (M2T). The result obtained from the approach proposed in this paper is a WSDL file which is an XML language allowing the complete description of a Web service. We used ATL for the implementation of the M2M approach transformation rules and then the Acceleo template engine for the translation of the M2T.</t>
  </si>
  <si>
    <t>Integrated Requirements and Systems Modeling in the Mechatronic Development Process</t>
  </si>
  <si>
    <t>Manufacturing systems continuously increase in complexity due to higher customer expectations regarding their purpose and flexibility of use. In addition, the growing meaning of electronic and software components in manufacturing systems complicates the engineering since the interaction of different disciplines leads to increasing coordination efforts and problems regarding the interfaces between these disciplines. For these reasons, development processes in this context need to be adapted continuously to the present situation. To face these challenges, the suitable handling of arising requirements is one key factor for the success of engineering processes. Therefore, a modeling technique for an integrated requirements and systems modeling in the mechatronic development process is presented in this paper. After a summary of approaches for model-based development and requirements engineering in the context of mechatronic systems, the modeling technique is illustrated on a meta-model level. To demonstrate the feasibility, the proposed approach is applied to a miniaturized packaging machine, which is currently developed at the Institute for Machine Tools and Industrial Management (iwb) of Technische Universit München for benchmarking engineering methods and tools. Excerpts of this application are outlined in this paper as well as the results of a discussion with experts from the machine tools industry regarding the presented modeling approach. Finally, an outlook with respect to possible enhancements of the modeling technique is given.</t>
  </si>
  <si>
    <t>Prototyping Real-Time Engineering Systems Using Halley &amp; Pirbhai’s Requirement Model</t>
  </si>
  <si>
    <t>A research programme is underway which is aimed at establishing ways of prototyping real time engineering systems using existing concurrent programming systems. The role of formal techniques in the development of prototypes, and its subsequent reuse in a well engineered product, is also an important theme The first prototypes have used the Hatley &amp; Pirbhai Transformation Schema, and have been built using Ada. A case study is described. The research shows that a prototype based on Hatley &amp; Pirbhai’s requirement model would require a significant structural overhead, mainly because of the model execution' assumptions. Also Ada is an inappropriate language to use, mainly because the tasking overhead is too great, but also because the communications model differs from Hatley &amp; Pirbhai’s model. Some future research direction are also indicated.</t>
  </si>
  <si>
    <t>Understanding Customer Quality Requirements: Model and Application</t>
  </si>
  <si>
    <t>We integrate previous work regarding service and product quality to develop and demonstrate tools useful in evaluating total product quality. Our premise is that competitive advantage can be gained through quality, even in mature commodity industries, but that a quality-based competitive strategy will be successful only if managers understand both how quality is perceived by their customers and their company’s level of quality performance. We used information from questionnaires sent to buyers of softwood dimension lumber to develop an empirical model of customer-perceived total product quality. This model and additional data from suppliers were then subjected to Importance–Performance Analysis. Respondents identified quality performance differences, based on five dimensions, between their least- and most-preferred suppliers. The dimension representing physical product characteristics was rated as the most important. Results indicate that the empirical model can be used with Importance–Performance Analysis to develop information necessary to pursue a successful quality-based competitive strategy.</t>
  </si>
  <si>
    <t>Energy Requirement Model for a Combine Harvester, Part I: Development of Component Models</t>
  </si>
  <si>
    <t>Energy is an important input of production agriculture. The timeliness of operation depends on energy availability. Energy input for harvesting and threshing of grain crops constitutes a major part of the total energy input. The combine harvester is a widely used harvesting machine for grain crops. The components of combine harvester have been modelled for power and energy requirements by using a number of processes and knowledge of physics, mechanics and mathematics. These models incorporate the crop, machine and soil parameters. The modulus of elasticity, moment of inertia of the transverse section, height and linear density of the crop stem, and crop throughput are some of the crop parameters identified in the models. Forward travel speed of the machine, total weight of the machine, peripheral speed of the respective components and several design parameters are the machine parameters identified in the models. The models are expected to be a useful tool for optimisation of energy use for harvesting operation by combine harvester.</t>
  </si>
  <si>
    <t>Ontology-based structured web data warehouses for sustainable interoperability: requirement modeling, design methodology and tool</t>
  </si>
  <si>
    <t>The spectacular growth of the Internet and its widespread adoption by worldwide corporations lead to an enormous quantity of heterogeneous, distributed and autonomous data sources. To facilitate the access to these huge amounts of data and make these sources interoperable, two technologies may be combined: data warehousing and ontologies. Data warehouses are designed to aggregate data and allow decision makers in these companies to obtain accurate, complete and up to date information. In the past decade, Data Warehouse Technology (DWT) has been successfully applied in several domains such as telecommunication, retail, finance and many other industries. It supports a wide range of applications throughout the enterprise. The DWT has been largely used to offer sustainable solutions for enterprises. On the other hand, ontologies are models for specifying the semantics of concepts used by various heterogeneous sources in a well defined and unambiguous way. Ontologies exist in various domains (E-commerce, Engineering, Tourism, etc.) and are used to increase interoperability between sources. They may be used to improve communication between decision makers and users collaborating together, by specifying the semantics of the used concepts. In this paper, we propose a methodology for designing data warehousing applications from various sources. Each source has its local ontology referencing a global one. The presence of ontologies has three main contributions: (i) each owner of each source may use it to define his/her requirements, (ii) it reduces most important types of conflicts that may exist in sources and requirements (schematic and semantic) and (iii) it facilitates the sustainable urbanization of the target data warehouse. Our methodology is supported by a case tool facilitating the tasks of data warehouse designers.</t>
  </si>
  <si>
    <t>Climatic-requirements models of cat’s claw creeper Macfadyena unguis-cati (Bignoniaceae) to prioritise areas for exploration and release of biological control agents</t>
  </si>
  <si>
    <t>Climate matching software (CLIMEX) was used to prioritise areas to explore for biological control agents in the native range of cat’s claw creeper Macfadyena unguis-cati (Bignoniaceae), and to prioritise areas to release the agents in the introduced ranges of the plant. The native distribution of cat’s claw creeper was used to predict the potential range of climatically suitable habitats for cat’s claw creeper in its introduced ranges. A Composite Match Index (CMI) of cat’s claw creeper was determined with the ‘Match Climates’ function in order to match the ranges in Australia and South Africa where the plant is introduced with its native range in South and Central America. This information was used to determine which areas might yield climatically-adapted agents. Locations in northern Argentina had CMI values which best matched sites with cat’s claw creeper infestations in Australia and South Africa. None of the sites from where three currently prioritised biological control agents for cat’s claw creeper were collected had CMI values higher than 0.8. The analysis showed that central and eastern Argentina, south Brazil, Uruguay and parts of Bolivia and Paraguay should be prioritised for exploration for new biological control agents for cat’s claw creeper to be used in Australia and South Africa.</t>
  </si>
  <si>
    <t>A water requirement model for salt gradient solar ponds</t>
  </si>
  <si>
    <t>A model for predicting the salt gradient solar pond (SGSP) area that could be maintained with a given water supply is presented together with several specific applications. For example, based on 30-year average water flows, the model predicts that 1.93 × 109 m2 (477,000 acres) of solar ponds, 1.02 × 109 m2 (253,000 acres) of evaporation ponds to recycle salt, and 0.51 × 109 m2 (125,000 acres) of freshwater storage reservoirs could be maintained at the Great Salt Lake of Utah. Water use requirements per unit of electrical energy from solar ponds are calculated as 600,000 m3/MW·yr. This is roughly 30 times the water evaporated per unit of electrical energy from coal-fired generating plants using wet cooling towers, but substantially less than water evaporation losses per unit of electrical energy produced from typical hydropower dams and reservoirs. It is concluded that water use requirements for solar ponds, although not necessarily prohibitive, are substantial; and in many locations may be the physical factor that limits solar pond development.</t>
  </si>
  <si>
    <t>Fault-tolerant context development and requirement validation in ERP systems</t>
  </si>
  <si>
    <t>This paper presents context development and requirement validation to overcome maintenance problems in Enterprise Resource Planning (ERP) systems. Using ERP data of a local petroleum firm, we employ knowledge integration to dynamically validate users' requirements, and to gather, analyze, and represent context through knowledge models. We also employ context-awareness to model the ERP context, along with a user requirement model. We employ context affinity to determine impact of these models on requirements' validation. We apply fault-tolerance on these models by using data mining to pre-identify delays in delivery of petroleum products, and to predict faulty contextual ERP product configuration.</t>
  </si>
  <si>
    <t>12. Evaluation of the NASEM 2021 dairy nutrient requirements model in lactating dairy cows fed diets with differing predicted absorbed amino acid efficiencies</t>
  </si>
  <si>
    <t>Estimating lime requirements for tropical soils: Model comparison and development</t>
  </si>
  <si>
    <t>Acid tropical soils may become more productive when treated with agricultural lime, but optimal lime rates have yet to be determined in many tropical regions. In these regions, lime rates can be estimated with lime requirement models based on widely available soil data. We reviewed seven of these models and introduced a new model (LiTAS). We evaluated the models’ ability to predict the amount of lime needed to reach a target change in soil chemical properties with data from four soil incubation studies covering 31 soil types. Two foundational models, one targeting acidity saturation and the other targeting base saturation, were more accurate than the five models that were derived from them, while the LiTAS model was the most accurate. The models were used to estimate lime requirements for 303 African soil samples. We found large differences in the estimated lime rates depending on the target soil chemical property of the model. Therefore, an important first step in formulating liming recommendations is to clearly identify the soil property of interest and the target value that needs to be reached. While the LiTAS model can be useful for strategic research, more information on acidity-related problems other than aluminum toxicity is needed to comprehensively assess the benefits of liming.</t>
  </si>
  <si>
    <t>Quality improvement method for high-end equipment’s functional requirements based on user stories</t>
  </si>
  <si>
    <t>Aiming at problems such as incomplete, inconsistent, and inaccurate requirements that often occur in the process of obtaining high-end equipment functional requirements, this paper presents a requirement quality improvement method. Referring to the agile development theory of requirements engineering, the quality improvement method constructs a functional requirement model based on user stories, defines the concept of functional requirement quality, designs functional requirement quality evaluation criteria, and constructs a functional requirement quality evaluation process. A case study and sensitivity analysis of new energy vehicle requirement development are conducted to confirm the feasibility and effectiveness of the method, and the experimental results show the superiority of the proposed method in improving the quality of high-end equipment functional requirements.</t>
  </si>
  <si>
    <t>A VDM-based Approach for Specifying and Testing Requirements of Web-applications</t>
  </si>
  <si>
    <t>The objective of this paper is to demonstrate the use of formal methods in a uniform way for functional as well as interface-requirements. We propose some add-ons to ‘Vienna Development Method Specification Language'syntaxes to cover the interface-requirements of a web-based application. We also propose a framework to support the transformation of the conventional SRS to a design specification, and a Finite State Machine based verification model, to test the design specification against the SRS.</t>
  </si>
  <si>
    <t>Designing IT systems according to environmental settings: A strategic analysis framework</t>
  </si>
  <si>
    <t>In the past, IT system design is mainly driven by two essential factors: technical merits and costs. Environmental consideration only emerges in most recent discussions under the label of green IT. As the evaluation of environmental and climate impact involves too many parameters, some of which are indirect and hidden, it is very hard to make rationale analysis without the support of a holistic strategic analysis framework. In this paper, we propose to extend the goal-oriented requirements modeling language, GRL, to model the rationality behind IT system design, in particular, how the environment related considerations come into play in such design decision making. It can be adopted as a strategic analysis framework to facilitate concrete decision makings under different environmental settings. Example real world scenarios are used to illustrate how the proposed approach can help improve the state of the practice.</t>
  </si>
  <si>
    <t>Estimating changes in essential amino acid requirements of rainbow trout and Atlantic salmon as a function of body weight or diet composition using a novel factorial requirement model</t>
  </si>
  <si>
    <t>As fish feeds are increasingly being formulated with a variety of protein sources, more attention needs to be paid to ensure that the essential amino acids (EAAs) requirements of the fish are met adequately. A novel factorial AA requirement model was developed by incorporating the effects of dietary and biological factors on AA requirement and utilization for two salmonid fish species, Atlantic salmon and rainbow trout. The factorial model determines AA requirement of fish based on species, expected body weight gain, body protein deposition, AA profile in body protein deposition, maintenance AA requirement, and inevitable AA metabolism. Simulations using this novel model suggest that EAA requirement (expressed as % diet dry matter DM) progressively decreases when the live weight of the fish increases. Atlantic salmon appears to have higher EAA requirements (estimated as % diet DM) than rainbow trout at the same body weight classes, and the rate of decrease in EAA requirement with the increase of body weight appears to be slower in Atlantic salmon. Model simulations also suggest that diet composition influences the estimates of EAA requirements. The novel factorial model could be a helpful tool in formulating cost-effective aquaculture feeds. This modelling approach can be adapted to other fish species.</t>
  </si>
  <si>
    <t>Requirement elicitation for adaptive standards development</t>
  </si>
  <si>
    <t>The recent digitization of manufacturing, also referred to as the fourth industrial revolution (or Industry 4.0), heavily relies on information standards for the exchange and integration of digital data across manufacturers and their partners. Standards are complex projects with a long lifecycle, often developed in a predictive environment, which no longer aligned with a fast paced industry. Adaptive environments have been proven to be an answer to this problem, but most project requirements management solutions have not evolved to support this shift. In this paper, we discuss the new challenges brought by a shift to adaptive environments, and introduce a solution to offer better requirement elicitation during standards development management with increased traceability and visibility.</t>
  </si>
  <si>
    <t>Agile model-based systems engineering of passenger train operational design</t>
  </si>
  <si>
    <t>The railway industry is facing the efficiency issue for the delivery of new or modification of existing rolling stock (McKinsey &amp; Company 2016). The aim of this paper is to describe the activities undertaken in different railway environments and develop an adaptable model which defines the black box functional behaviour of a train system. Therefore, to prove the effectiveness in solving system requirements, the model-based systems engineering method has been applied to several railway uses cases to assess its effectiveness, including a variability management approach. The assessment provides confidence in the adoption of this approach to improve the accuracy and speed of system requirement specification of rolling stock. Initial results also include evidence of increased productivity by minimising unnecessary manual transcription of concepts when coordinating the work of large teams.</t>
  </si>
  <si>
    <t>A novel metric for assessing structural complexity of data warehouse requirements models</t>
  </si>
  <si>
    <t>Metrics can be used to evaluate the overall structural complexity of the data warehouse (DW) and assess its quality in the early phases of design and development. The requirements data model plays a crucial role in developing a quality-based DW. Several researchers have assessed the quality of the requirements data model using the requirements metrics based on the agent-goal-decision-information (AGDI) model, both formally and empirically. However, no assessment has been implemented on the structural complexities of the requirements data model based on goal, decision, and information hierarchies. Considering this, the study proposes a novel structural complexity metric to assess the overall complexity of the requirements data model at different phases (information, decision and organisation) and to analyze the links between the different levels of granularity in these models. The proposed metric is formally validated by applying the measurement theory-based Briand’s framework for complexity measure (i.e., one of the five notions of measurements in Software Engineering) by confirming that the proposed metric is valid and defined correctly under certain mathematical properties. As a result, we conclude that the proposed structural complexity metric is accurately defined and effectively valid. We also provide a detailed comparison of various requirements metrics commonly used in similar contexts to contextualize our proposed metric within the broader landscape of existing methodologies. Additionally, we have included comprehensive guidelines and practical examples for applying the proposed structural complexity metric in DW development scenarios to enhance its utility among practitioners. The proposed metric can be utilized to ensure the accuracy of the requirements model, thereby improving the overall quality of DW.</t>
  </si>
  <si>
    <t>Energy Requirement Model for Combine Harvester, Part 2: Integration of Component Models</t>
  </si>
  <si>
    <t>An energy requirement model of a combine harvester has been developed by suitably integrating the energy models of the machine components. The model calculates the output with ten model coefficients associating four model variables. The crop throughput, travel speed, peripheral speed of the threshing cylinder and total vertical load borne by the ground wheels are the variables of the combine harvester energy model. The rate of specific diesel consumption is the model output. The values of three model coefficients associated with the major energy consuming processes, viz., threshing, traction, and friction at moving components have been assessed utilising a multiple regression technique. The data used for the determination of the model coefficients as well as for their validation relates to the performance test results of seven commercially available Indian made combine harvesters harvesting major paddy and wheat varieties in India. The models predict the specific diesel consumption of these machines.</t>
  </si>
  <si>
    <t>Review: Harnessing extant energy and protein requirement modeling for sustainable beef production</t>
  </si>
  <si>
    <t>Numerous mathematical nutrition models have been developed in the last sixty years to predict the dietary supply and requirement of farm animals’ energy and protein. Although these models, usually developed by different groups, share similar concepts and data, their calculation routines (i.e., submodels) have rarely been combined into generalized models. This lack of mixing submodels is partly because different models have different attributes, including paradigms, structural decisions, inputs/outputs, and parameterization processes that could render them incompatible for merging. Another reason is that predictability might increase due to offsetting errors that cannot be thoroughly studied. Alternatively, combining concepts might be more accessible and safer than combining models’ calculation routines because concepts can be incorporated into existing models without changing the modeling structure and calculation logic, though additional inputs might be needed. Instead of developing new models, improving the merging of extant models’ concepts might curtail the time and effort needed to develop models capable of evaluating aspects of sustainability. Two areas of beef production research that are needed to ensure adequate diet formulation include accurate energy requirements of grazing animals (decrease methane emissions) and efficiency of energy use (reduce carcass waste and resource use) by growing cattle. A revised model for energy expenditure of grazing animals was proposed to incorporate the energy needed for physical activity, as the British feeding system recommended, and eating and rumination (HjEer) into the total energy requirement. Unfortunately, the proposed equation can only be solved iteratively through optimization because HjEer requires metabolizable energy (ME) intake. The other revised model expanded an existing model to estimate the partial efficiency of using ME for growth (kg) from protein proportion in the retained energy by including an animal degree of maturity and average daily gain (ADG) as used in the Australian feeding system. The revised kg model uses carcass composition, and it is less dependent on dietary ME content, but still requires an accurate assessment of the degree of maturity and ADG, which in turn depends on the kg. Therefore, it needs to be solved iteratively or using one-step delayed continuous calculation (i.e., use the previous day’s ADG to compute the current day’s kg). We believe that generalized models developed by merging different models’ concepts might improve our understanding of the relationships of existing variables that were known for their importance but not included in extant models because of the lack of proper information or confidence at that time.</t>
  </si>
  <si>
    <t>Women’s access to land and the Land Administration Domain Model (LADM): Requirements, modelling and assessment</t>
  </si>
  <si>
    <t>Beyond international guidelines and agreements, over the last decade the focus of the global development community turned to collaboratively designing technical methodologies and tools to support women’s access to land. The Land Administration Domain Model (LADM) provides a prime example of one of these technical initiatives. Whilst LADM was developed with the aim to support the access to land for women and vulnerable groups as a key design criterion, many other potentially conflicting requirements influenced the developed model. Moreover, after a decade of the standard being in practice and applied in various country contexts, there now exists the impetus and opportunity to assess whether the LADM can support the access to land for women and vulnerable groups in practice, including an assessment of the standard against new international standards and agreements emerging over the previous decade. This paper therefore assesses the gender sensitivity of the LADM, from a technical perspective, which is needed to better understand and therefore support and strengthen the documentation and recordation of women’s land rights through standard based systems, and basic datasets. The research type ‘modelling’ is followed to identify requirements from related land administration literature, and to model and match these with the current Edition I of the LADM. The status of the current version of the LADM with regards to whether, and if how it deals with these requirements was assessed. Potential actions for improvements to the LADM were recorded and some examples illustrate options of people to land relationships considering a women perspective and how the LADM would currently model those people-to-land relationships. The assessment shows that the LADM contains significant functionality to support women’s access to land and hence support the implementation of a gender sensitive land administration system. The potential and importance of standards, such as the LADM, and their role in the recognition of women’s land rights is shown and therefore future developments and uptake of such standards are seen as imperative for the 2030 Agenda for Sustainable Development.</t>
  </si>
  <si>
    <t>Dehumidification requirement modelling and control strategy for greenhouses in cold regions</t>
  </si>
  <si>
    <t>Plant transpiration and evaporation from soil surface or growth media in greenhouses produce a large amount of moisture. High relative humidity (RH) favors fungus growth and causes plant diseases thus dehumidification is essential in greenhouses. In this study, a novel model (DehumReq) is developed to predict the dehumidification requirement of greenhouses. The model is based on the crop characteristics, greenhouse environment, and outdoor weather conditions. The year-round predictions give the variation of hourly dehumidification requirement and identify the dehumidifier capacity required for RH control. The model output is validated by the actual dehumidification requirement of a tomato greenhouse. A good agreement is obtained with the coefficient of determination (R2) values up to 0.89 and root mean square error (RMSE) values of less than 10% of maximum dehumidification load between the predictions and measured values. The dehumidification load strategy is also developed using the model, which recommends use 90% of assurance rate for RH control (for setpoint 70, 75, and 80% RH) to keep the load at a reasonable level without causing long high RH period to affect the crops; whereas 100% assurance rate would triple the loads. Using this model and strategy, the greenhouse growers can predict the dehumidification needs and select suitable dehumidifiers. Due to the high loads, it is recommended that in cold region, ventilation using exhaust fan or heat/energy exchangers may provide most of the humidity control while refrigeration or hygroscopic dehumidifiers will supplement when ambient air is humid (summer or mild seasons) or heating cost is a concern (winter season). It is also recommended that the greenhouse ventilation and dehumidification systems should have a temperature-relative humidity (T-RH) control strategy to provide effective and economic T-RH control.</t>
  </si>
  <si>
    <t>A low data requirement model of a variable-speed vapour compression refrigeration system based on neural networks</t>
  </si>
  <si>
    <t>In this work a model of a vapour compression refrigeration system with a variable-speed compressor, based on a black-box modelling technique, is presented. The kernel of the model consists of a full customized radial basis function network, which has been developed to accurately predict the performance of the system with low cost data requirement in terms of input variables and training data. The work also presents a steady state validation of the model inside and outside the training data set, finding, in both cases, a good agreement between experimental values and those predicted by the model. These results constitute a first step to go through future research on fault detection and energy optimisation in variable-speed refrigeration systems.</t>
  </si>
  <si>
    <t>Prototyping real time engineering systems using Hatley &amp; Pirbhai's requirement model: D.A. Fensome, pp 37–41</t>
  </si>
  <si>
    <t>Economic analysis at the global level: a resource requirement model for HIV prevention in developing countries</t>
  </si>
  <si>
    <t>Agencies operating at the international level have a need for economic analysis to help develop global health policies and determine resource requirements to support their advocacy efforts. This paper presents work commissioned by the Global Programme on AIDS to estimate the total resource requirements of implementing a package of HIV prevention strategies in developing countries. The modelling approach identified a hypothetical package which should be implemented and developed a set of assumptions relating the size, number and coverage of programmes required for each strategy to a set of demographic and other characteristics of individual countries. Costs were attached to estimate the total costs of the package for individual countries, regions and the developing world. Results are presented for regions and their implications discussed. Conclusions are drawn on the value of this type of modelling approach to estimating resource requirements.</t>
  </si>
  <si>
    <t>CZ° requirements—models for the two dimensional analysis of multilayered structures</t>
  </si>
  <si>
    <t>In the field of axiomatic, linear-elastic, two dimensional modeling of multilayered structures this paper addresses theories in view of the Cz0 requirements i.e. both the zig-zag form of the displacement components along the thickness coordinate and the interlaminar equilibria at the interfaces for the transverse stress components are taken into account. First, existing single-layer models are reviewed: (1) it is remarked that they are of limited value to analyze problems in which an accurate description of the transverse normal stress and related consequences is requested; (2) it is concluded that such description would require the use of layer-wise theories. Moreover, it is single out that available layer-wise models do not fulfill a priori interlaminar equilibria. The contents of a recent author's work (Carrera 1994a, in press) have been extended to propose some layerwise models as tools to fulfill a priori and complete the Cz0 requirements. Approximate solution procedures are referred and the governing equations have been presented in the form of a linear system of algebraic equations. The mixed and displacement formulations are described by employing a Reissner mixed variational theorem and by writing a weak form of the Hooke law, respectively.</t>
  </si>
  <si>
    <t>PROTOTYPING REAL TIME ENGINEERING SYSTEMS USING HATLEY &amp; PIRBHAI'S REQUIREMENT MODEL</t>
  </si>
  <si>
    <t>A research programme is underway which is aimed at establishing ways of prototyping real time engineering systems using existing concurrent programming systems. The role of formal techniques in the development of prototypes, and its subsequent reuse in a well engineered product, is also an important theme. The first prototypes have used the Hatley &amp; Pirbhai Transformation Schema, and have been built using Ada. A case study is described. The research shows that a prototype based on Hatley &amp; Pirbhai's requirement model would require a significant structural overhead, mainly because of the model ‘execution’ assumptions. Also Ada is an inappropriate language to use, mainly because the tasking overhead is too great, but also because the communications model differs from Hatley &amp; Pirbhai's model. Some future research direction are also indicated.</t>
  </si>
  <si>
    <t>Crop water requirements model tested for crops grown in Greece</t>
  </si>
  <si>
    <t>A model for estimating crop water requirements throughout crop development is presented. The model assumes horizontal uniformity and treats the two-component system of canopy and soil along the lines of Shuttleworth and Wallace (1985). Incorporated in the model is a 3-layer soil water budget allowing evaluation of the soil surface and canopy resistances and time evolution of the soil moisture in the root zone. Canopy interception is also taken into account. Model parameterization considered mostly the crop canopy resistance, assuming neutral atmospheric stability conditions, whereas parameterization of the aerodynamic resistances allows for smooth transition from bare soil to a fully developed crop canopy. The model has been validated with meteorological (temperature, relative humidity, wind speed, net radiation flux density, solar radiation flux density and soil heat flux density, precipitation or irrigation) and crop (height, leaf area index and root depth) data collected from experimental fields of the Agricultural University of Athens (38°23′N, 23°06′E). Results were verified for three crops (cotton, wheat and maize) against soil moisture profile changes with very satisfactory results. Agreement between observed and estimated evapotranspiration is within 8%. The model is sensitive to crop type and time evolution of the root zone penetration into soil while precise determination of the minimum stomata resistance is not exclusively important.</t>
  </si>
  <si>
    <t>4. Predictions of body mineral content in gilts from mating to first parturition: evaluation of different requirement models</t>
  </si>
  <si>
    <t>Minimizing costs while meeting safety requirements: Modeling deterministic (imperfect) staggered tests using standard Markov models for SIL calculations</t>
  </si>
  <si>
    <t>Abstract In industry, potentially hazardous (technical) structures are equipped with safety systems in order to protect people, the environment, and assets from the consequences of accidents by reducing the probability of incidents occurring. Not only companies but also society will want to know what the effect of these safety measures is: society in terms of “likelihood of undesired events” and companies in addition in terms of “value for money,” the expected benefits per dollar or euro invested that these systems provide. As a compromise between demands from society (the safer the better) and industry (but against what cost), in many countries government has decided to impose standards to industry with respect to safety requirements. These standards use the average probability of failure on demand as the main performance indicator for these systems, and require, for the societal reason given before, that this probability remain below a certain value depending on a given risk. The main factor commonly used in industry to “fine-tune” the average probability of failure on demand for a given system configuration in order to comply with these standards against financial risk for the company is “optimizing” the test strategy (interval, coverage, and procedure). In industry, meeting the criterion on the average probability of failure on demand is often demonstrated by using well accepted mathematical models such as Markov models from literature and adapting them for the actual situation. This paper shows the implications and potential pitfalls when using this commonly used practical approach for a situation where the test strategy is changed. Adapting an existing Markov model can lead to unexpected results, and this paper will demonstrate that a different model has to be developed. In addition, the authors propose an approach that can be applied in industry without suffering from the problems mentioned above.</t>
  </si>
  <si>
    <t>Temperature model of litchi flowering—From induction to anthesis</t>
  </si>
  <si>
    <t>To study the effect of air temperature on the physiological stages of flowering in litchi (Litchi chinensis Sonn.), we pruned the two apical buds of ‘Yu Her Pau’ litchi to release the axillary buds into inflorescence induction. We used three years of flowering performance data, including 14 pruning episodes, along with temperature data from the field, to develop three different growth models: an “inflorescence induction model” (IIM), a “floret anthesis model” (FAM), and an “inflorescence length model” (ILM). Using the regression relationship between assumed temperature and the coefficient of variation in “chilling-degree-hours” (CDHs), and the “thermal-degree-hours” (TDHs) of all treatments, we estimated the base temperatures of inflorescence induction and floret anthesis to be 23.42°C and 19.32°C, respectively. Furthermore, using the IIM, we divided inflorescence induction into “pre-induction” and “induction” phases, and these had chilling requirements of 4030 and 3343 CDHs, respectively. Florets entered anthesis when they reached 2397 TDHs after inflorescence emergence. The length of the inflorescence flush can be deduced from the CDHs between inflorescence emergence and floret flowering, and the ILM indicated that the length of the inflorescence flush was positively correlated with the CDHs during this period. However, the FAM showed that the timing of anthesis was positively correlated with the speed of thermal temperature accumulation. This finding indicates that the process from inflorescence emergence to floret anthesis results from a competition between the chilling requirement for inflorescence flush elongation and the thermal requirement for floret anthesis.</t>
  </si>
  <si>
    <t>Mode selection for component mode synthesis with guaranteed assembly accuracy</t>
  </si>
  <si>
    <t>In this work, a modular approach is introduced to select the most important eigenmodes for each component of a composed structural dynamics system to obtain the required accuracy of the reduced-order assembly model. To enable the use of models of complex (structural) dynamical systems in engineering practice, e.g., in a design, optimization and/or control context, the complexity of the models needs to be reduced. When the model consist of an assembly of multiple interconnected structural components, component mode synthesis is often the preferred model reduction method. The standard approach to component mode synthesis for such system is to select the eigenmodes of a component that are most important to accurately model the dynamic behaviour of this component in a certain frequency range of interest. However, often, a more relevant goal is to obtain, in this frequency range, an accurate model of the assembly. In the proposed approach, accuracy requirements on the level of the assembly are translated to accuracy requirements on component level, by employing techniques from the field of systems and control. With these component-level requirements, the eigenmodes that are most important to accurately model the dynamic behaviour of the assembly can be selected in a modular fashion. We demonstrate with two structural dynamics benchmark systems that this method based on assembly accuracy allows for a computationally efficient selection of eigenmodes that (1) guarantees satisfaction of the assembly accuracy requirements and (2) results in most cases in reduced-order models of significantly lower order with respect to the industrial standard approach in which component eigenmodes are selected using a frequency criterion.</t>
  </si>
  <si>
    <t>An extension of iStar for Machine Learning requirements by following the PRISE methodology</t>
  </si>
  <si>
    <t>The rise of Artificial Intelligence (AI) and Deep Learning has led to Machine Learning (ML) becoming a common practice in academia and enterprise. However, a successful ML project requires deep domain knowledge as well as expertise in a plethora of algorithms and data processing techniques. This leads to a stronger dependency and need for communication between developers and stakeholders where numerous requirements come into play. More specifically, in addition to functional requirements such as the output of the model (e.g. classification, clustering or regression), ML projects need to pay special attention to a number of non-functional and quality aspects particular to ML. These include explainability, noise robustness or equity among others. Failure to identify and consider these aspects will lead to inadequate algorithm selection and the failure of the project. In this sense, capturing ML requirements becomes critical. Unfortunately, there is currently an absence of ML requirements modeling approaches. Therefore, in this paper we present the first i* extension for capturing ML requirements and apply it to two real-world projects. Our study covers two main objectives for ML requirements: (i) allows domain experts to specify objectives and quality aspects to be met by the ML solution, and (ii) facilitates the selection and justification of the most adequate ML approaches. Our case studies show that our work enables better ML algorithm selection, preprocessing implementation tailored to each algorithm, and aids in identifying missing data. In addition, they also demonstrate the flexibility of our study to adapt to different domains.</t>
  </si>
  <si>
    <t>Requirements-Driven Verification of Web Services</t>
  </si>
  <si>
    <t>We propose a requirements-driven approach to the design and verification of Web services. The proposed methodology starts from a requirements model, which defines a business domain at a “strategic” level, describing the participating actors, their mutual dependencies, goals, require- ments, and expectations. This business requirements model is then refined into a business process model. In this refinement, definitions of the processes carried out by the actors of the domain are added to the model in the form of BPEL4WS code. We show how to exploit model checking tech- niques for the verification of the specification, both at the requirements and at the process level. At the requirements level, model checking is used to validate the specification against a set of queries specified by the designer; at the process level, it is used to verify if the BPEL4WS processes satisfy the constraints described in the requirements model.</t>
  </si>
  <si>
    <t>AVQS-NN: Adaptive Virtualization for Quantum Services for application support using Neural Networks</t>
  </si>
  <si>
    <t>Reliable application support is provided by quantum networks utilizing internal and superposition service network topologies. To provide continuous accessibility, the superposition procedure incorporates service replicas and network virtualization. This study presents a quantum requirement model to be prepared for the new virtualization technology and slicing, notwithstanding the uncertainty of that future. Combinatorial learning paradigms are used in this approach to combat the unpredictability that arises from network allocation and service distribution. This method named Adaptive Virtualization for Quantum Services using Neural Network (AVQS-NN) relies on customer satisfaction based on virtualization’s rising demand and rapid service response. Linear neural networks are used in this technique for both virtualization and verification of quantum states. The quantum state is verified to ensure that virtualization enhancements are balanced between network availability and service needs. States are established and toggled between several responses and processing speeds using the suggested technique. This helps provide fast responses, enhanced processing, and reduced delay. Furthermore, with fewer failures, resource utilization is enhanced.</t>
  </si>
  <si>
    <t>Profit benchmarking and degradation analysis for revenue stacking of batteries in Sweden’s day-ahead electricity and frequency containment reserve markets</t>
  </si>
  <si>
    <t>This paper presents a novel mixed-integer linear programming (MILP) model for revenue stacking of battery energy storage systems (BESSs) in Sweden’s day-ahead (DA) electricity and frequency containment reserve (FCR) markets. The model includes a detailed calendar and cycle battery degradation and market technical requirements modeling that aims to maximize the battery owner’s potential profit from participating in the DA and three FCR markets, FCR in normal operation (FCR-N), and FCR in disturbances (FCR-D) for up- and down-regulations. For presenting comprehensive results, successive daily optimizations are conducted for year 2022 using one-minute resolution real data. Five utilization modes are simulated including participation in no FCR market (only DA), only DA and FCR-N, only DA and FCR-D up-regulation, only DA and FCR-D down-regulation, and DA and all FCR markets. The maximum potential profit from revenue stacking in the DA and multi-FCR markets could have been k€ 708 for a 1MW-1MWh BESS, which is 22 times the profit in no FCR participation case. The annual degradation resulting from multi-FCR market participation was 1.7% of loss in battery capacity. Considering degradation in the optimization problem reduced the aging by 29% without a significant effect on profit. The proposed model can serve as a benchmark for evaluating the profitability and sustainability of battery operation strategies and algorithms.</t>
  </si>
  <si>
    <t>144 Energy requirement models for beef cattle</t>
  </si>
  <si>
    <t>Inter-building effect: Simulating the impact of a network of buildings on the accuracy of building energy performance predictions</t>
  </si>
  <si>
    <t>Given the significant energy consumption imputable to buildings, the development of accurate models to predict building energy performance to understand their environmental impact has become a fundamental research issue. In this paper, a method for evaluating a building's energy performance by enlarging the assessment perspective from a single building to a network of buildings is proposed and applied. The purpose of this research was to establish how a combined Inter-Building Effect (IBE) on energy consumption could work and how it could condition buildings' energy performance when there are close spatial relationships among buildings. To examine this, a simulation of the energy performance of a whole network of buildings represented by a realistic block of twenty single-family homes subject to different climatological contexts was conducted. The results demonstrate that buildings can mutually impact the energy dynamics of other buildings and that this effect varies by climatological context and by season. The IBE analysis and the specific proposed methodology revealed energy requirement modeling inaccuracies of up to 42% in summer (in Miami, FL) and up to 22% in winter (in Minneapolis, MN). These findings demonstrate that in order to accurately predict the energy performance of a single building, the IBE created by the spatial relationship with surrounding buildings should be considered.</t>
  </si>
  <si>
    <t>Application and extension of the IFC standard in construction cost estimating for tendering in China</t>
  </si>
  <si>
    <t>The purpose of this paper is to investigate the possibilities and methods of applying the IFC (Industry Foundation Classes) standard, i.e. the mainstream standard of BIM (Building Information Modeling) data to the construction cost estimating for tendering in China. Through analyzing the existing standards and the IFC standard, the problems of using the IFC standard are identified and the solutions are explored. An information requirement model for construction cost estimating for tendering in China was established, which includes seven aspects of information entities. Then each aspect of the information was expressed by using the IFC standard to verify the completeness of the IFC standard and to establish the IFC-based information model. As a conclusion, the IFC standard can be used to express the information for the construction cost estimating for tendering in China as a whole, but some extensions in the form of proxy elements and property sets are needed. The established information model can be applied to the development of a construction cost estimating software.</t>
  </si>
  <si>
    <t>Long-term effects of gypsum on the chemistry of sodic soils</t>
  </si>
  <si>
    <t>Soils with high exchangeable sodium contents have structural and hydrological problems that limit agricultural productivity. Gypsum is commonly applied as an ameliorant but there are few field studies into its long-term (&gt; 10 years) effects on soil chemistry, especially at depths greater than 0.4 m, and no long-term validation of the gypsum requirement model. The aim of this study was to address these two knowledge gaps. This was achieved by a) carrying out a field study of the effects of repeated gypsum applications, irrigation, and sugarcane cultivation to 1.25 m depth over a 26-year period in Australia, and b) assessing the ability of the gypsum requirement model to predict changes in exchangeable sodium percentage (ESP) more broadly, using 53 unique cases from 17 field studies (&gt; 1 year). In our field study, the greatest reductions in exchangeable sodium (up to 5.49 %; p &lt; 0.05) occurred between 0.25 and 1.00 m depth, where initial concentrations were highest. The amount of sodium (16.47 cmolc/m2), magnesium (2.49 cmolc/m2), and potassium (0.65 cmolc/m2) displaced was less than the amount of calcium gained (36.76 cmolc/m2) over the profile. Most calcium was retained in the application layer (0.00–0.25 m) but some moved down to at least 1.25 m. Reductions in exchangeable sodium were smaller than in all previous long-term studies, possibly due to lower deep drainage rates (39–45 mm/year) and increased pH. Assessment of the gypsum requirement model showed that predicted final ESP deviated widely from measured ESP in many cases (95 % of predictions deviated by &gt;10 %), presumably due to interactions between pH, clay type, carbonate, climate, management, and cation exchange equilibria. By adjusting two model parameters, the effect of gypsum on ESP was more accurately predicted (20 % of predictions were within 10 % of measured ESP) making it a useful tool for farmers.</t>
  </si>
  <si>
    <t>Exploring Stakeholder Requirements to Enable Research and Development of Artificial Intelligence Algorithms in a Hospital-Based Generic Infrastructure: Results of a Multistep Mixed Methods Study</t>
  </si>
  <si>
    <t>Background Legal, controlled, and regulated access to high-quality data from academic hospitals currently poses a barrier to the development and testing of new artificial intelligence (AI) algorithms. To overcome this barrier, the German Federal Ministry of Health supports the “pAItient” (Protected Artificial Intelligence Innovation Environment for Patient Oriented Digital Health Solutions for developing, testing and evidence-based evaluation of clinical value) project, with the goal to establish an AI Innovation Environment at the Heidelberg University Hospital, Germany. It is designed as a proof-of-concept extension to the preexisting Medical Data Integration Center. Objective The first part of the pAItient project aims to explore stakeholders’ requirements for developing AI in partnership with an academic hospital and granting AI experts access to anonymized personal health data. Methods We designed a multistep mixed methods approach. First, researchers and employees from stakeholder organizations were invited to participate in semistructured interviews. In the following step, questionnaires were developed based on the participants’ answers and distributed among the stakeholders’ organizations. In addition, patients and physicians were interviewed. Results The identified requirements covered a wide range and were conflicting sometimes. Relevant patient requirements included adequate provision of necessary information for data use, clear medical objective of the research and development activities, trustworthiness of the organization collecting the patient data, and data should not be reidentifiable. Requirements of AI researchers and developers encompassed contact with clinical users, an acceptable user interface (UI) for shared data platforms, stable connection to the planned infrastructure, relevant use cases, and assistance in dealing with data privacy regulations. In a next step, a requirements model was developed, which depicts the identified requirements in different layers. This developed model will be used to communicate stakeholder requirements within the pAItient project consortium. Conclusions The study led to the identification of necessary requirements for the development, testing, and validation of AI applications within a hospital-based generic infrastructure. A requirements model was developed, which will inform the next steps in the development of an AI innovation environment at our institution. Results from our study replicate previous findings from other contexts and will add to the emerging discussion on the use of routine medical data for the development of AI applications. International Registered Report Identifier (IRRID) RR2-10.2196/42208</t>
  </si>
  <si>
    <t>Modeling the Evapotranspiration Inside the Greenhouse Systems by Using MATLAB Simulink</t>
  </si>
  <si>
    <t>A simulation based on mathematical model to predict the daily evapotranspiration rates that occur inside the controlled-environmental systems was simulated using the Simulink toolbox in MATLAB program. Four inputs data were used in this model (e.g. solar radiation, air temperature, relative humidity, and wind speed). The output of this simulation model is the estimation of the daily evapotranspiration (ET) rates that depict the crop water requirement.</t>
  </si>
  <si>
    <t>Automatic weighting filter tuning for robust flight control law design</t>
  </si>
  <si>
    <t>This article presents a practical framework for the co-design of weighting filter parameters and controller gains in the context of multi-objective/multi-model tuning of flight control laws. A non-smooth optimization-based procedure is proposed aiming to reduce the complexity of the control design process, evolving from a rather classical manual filter selection all the way to a fully automatic one. A normal acceleration Control Augmentation System (CAS), designed by making use of non-smooth optimization software, for the linearized dynamics of an agile autonomous aerospace vehicle is used as an illustrative example. Several performance indexes are compared in the context of the developed framework as well as against more classical tuning methods such as pole placement, demonstrating that the proposed approach may lead to improved results and potentially benefit the flight control engineer via an easier handling of conflicting design requirements, model uncertainty and application-tailored control structures.</t>
  </si>
  <si>
    <t>Travel behaviour and game theory: A review of route choice modeling behaviour</t>
  </si>
  <si>
    <t>Route choice models are a vital tool for evaluating the impact of transportation policies and infrastructure improvements, such as the addition of new roads, tolls, or congestion charges. They can also be used to predict traffic flow and congestion levels, which is essential for traffic management and control. The aim of this manuscript is to provide a comprehensive analysis of the effectiveness and limitations of various game theory (GT) based models used in route choice modelling. The manuscript draws upon the theoretical foundations of game theory to explore the complex decision-making processes of travelers in transportation networks, focusing on factors such as travel time, congestion. The manuscript discusses the challenges and opportunities associated with implementing game theory-based models in practice, including the data requirements, model calibration, and computational complexity. These factors are considered in relation to the suitability of different game theory-based models, including cooperative, non-cooperative, and evolutionary games. The comparative critiques presented in this manuscript provide guidance for future research directions in the field of private route choice modelling, aimed at academic researchers, engineers, policymakers, and industrial communities.</t>
  </si>
  <si>
    <t>BIM for facilities management: A framework and a common data environment using open standards</t>
  </si>
  <si>
    <t>BIM for Facilities Management (BIM for FM) is a relatively new and growing topic of inquiry aiming to fulfil the informational needs of the operational phase of assets within increasingly digitalised project workflows. Research into the management of structured (i.e. graphical and non-graphical) and unstructured data (i.e. documents) has largely focused on design and construction phases. Information management in facilities management and maintenance is still challenged by the lack of a structured framework that can simultaneously fulfil these three capabilities: (1) the delivery of information models (i.e. Asset Information Models) from distributed data sources; (2) the validation of these information models against the requirements; and (3) the use of their information in facilities management (e.g. operation and maintenance). This research aims to develop and test a framework and a prototype Common Data Environment (CDE) to achieve these three capabilities. The framework and the developed CDE are entirely based on use open standards and integration of existing technologies. A requirements model, underpinning the framework and the CDE was developed during three iterative stages of interviews –in line with the adopted Grounded Theory and Design Science Research methodologies– with industry experts and through a three-stage coding process at each iteration. The framework and the CDE were tested in pilot demonstrations with a use case focused on preventive and reactive maintenance. The testing demonstrated that the implementation of ‘BIM for FM’ processes is feasible with the proposed framework and CDE relying entirely on open standards and existing technologies. Some additional requirements for BIM for FM processes were also identified during the verification sessions with industry and are proposed for future research.</t>
  </si>
  <si>
    <t>Modeling of additive manufacturing processes for metals: Challenges and opportunities</t>
  </si>
  <si>
    <t>Design Scenarios: Enabling transparent parametric design spaces</t>
  </si>
  <si>
    <t>This paper presents a novel methodology called Design Scenarios (DSs) intended for use in conceptual design of buildings. DS enables multidisciplinary design teams to streamline the requirements definition, alternative generation, analysis, and decision-making processes by providing a methodology for building and managing requirements driven design spaces with parametric Computer Aided Design (CAD) tools. DS consists of four interdependent models: (1) Requirements Model – stakeholders and designers explicitly define and prioritize context specific design requirements; (2) Scenarios Model (SM) – designers formally transform these requirements into actions necessary to achieve them, and determine the geometric and material parameters, interrelationships, and potential conflicts; (3) Parametric Process Model (PPM) – CAD experts build and represent the technical implementation of a SM in a parametric model to enable design teams to manage and communicate its CAD models; (4) Alternative Analysis Model – analyze and visually report performance back to the designers and stakeholders. This paper motivates the need for the DS methodology thorough an industry case study, and establishes points of departure for the methodology through literature review. Next, the paper details the elements and methods in the methodology, describes its implementation into a software prototype, provides an illustrative example to explain, and an industry test case to validate how DS can potentially enable multidisciplinary teams to generate and communicate larger and better performing design spaces more efficiently than with traditional methods.</t>
  </si>
  <si>
    <t>17. Nutrition for sow milk production matters</t>
  </si>
  <si>
    <t>A predictive approximation based on squeeze functional in solving nonlinear simulation problem</t>
  </si>
  <si>
    <t>The performance requirement for nonlinear simulation of an industrial process is especially important when used in an operator training simulator (OTS), which is usually integrated with an emulator of a distributed control system (DCS). While coupled with such a DCS system, the simulator must be able to respond faster than real-time to process variations and upsets. Without such performance requirement, model fidelity will suffer and the simulator may fail to predict dangerous process conditions or warnings. In this paper, we address the performance issue by introducing a predictive approximation of physical properties based on the concept of a squeeze functional. Proof of accuracy and computational performance enhancement are given by examples, including simulation of a polyethylene synthesis process using the PC-SAFT model and an olefin metathesis process using NRTL model.</t>
  </si>
  <si>
    <t>Invited review: Experimental design, data reporting, and sharing in support of animal systems modeling research1</t>
  </si>
  <si>
    <t>The National Animal Nutrition Program “National Research Support Project 9” supports efforts in livestock nutrition, including the National Research Council’s committees on the nutrient requirements of animals. Our objective was to review the status of experimentation and data reporting in animal nutrition literature and to provide suggestions for the advancement of animal nutrition research and the ongoing improvement of field-applied nutrient requirement models. Improved data reporting consistency and completeness represent a substantial opportunity to improve nutrition-related mathematical models. We reviewed a body of nutrition research; recorded common phrases used to describe diets, animals, housing, and environmental conditions; and proposed equivalent numerical data that could be reported. With the increasing availability of online supplementary material sections in journals, we developed a comprehensive checklist of data that should be included in publications. To continue to improve our research effectiveness, studies utilizing multiple research methodologies to address complex systems and measure multiple variables will be necessary. From the current body of animal nutrition literature, we identified a series of opportunities to integrate research focuses (nutrition, reproduction and genetics) to advance the development of nutrient requirement models. From our survey of current experimentation and data reporting in animal nutrition, we identified 4 key opportunities to advance animal nutrition knowledge: (1) coordinated experiments should be designed to employ multiple research methodologies; (2) systems-oriented research approaches should be encouraged and supported; (3) publication guidelines should be updated to encourage and support sharing of more complete data sets; and (4) new experiments should be more rapidly integrated into our knowledge bases, research programs and practical applications.</t>
  </si>
  <si>
    <t>Algorithms for propositional model counting</t>
  </si>
  <si>
    <t>We present algorithms for the propositional model counting problem #SAT. The algorithms utilize tree decompositions of certain graphs associated with the given CNF formula; in particular we consider primal, dual, and incidence graphs. We describe the algorithms coherently for a direct comparison and with sufficient detail for making an actual implementation reasonably easy. We discuss several aspects of the algorithms including worst-case time and space requirements.</t>
  </si>
  <si>
    <t>Modelling of Cutting Fibrous Composite Materials: Current Practice</t>
  </si>
  <si>
    <t>Using fibre reinforced polymers (FRP) is increasing across many industries. Although FRP are laid-up in the near-net shape, several cutting operations are necessary to meet quality and dimensional requirements. Modelling of cutting is essential to understand the physics of the cutting phenomena and to predict quality and cost of products. This paper aims at reviewing the current practice in modelling of cutting FRP including analytical, numerical, mechanistic and empirical approaches, with emphasis on analytical models of cutting forces and delamination. Processes detailed include orthogonal cutting, drilling, milling and turning. Finally, advances in machining of metal-composite stacks are presented. Video abstract</t>
  </si>
  <si>
    <t>Stress-informed control of medium- and high-head hydropower plants to reduce penstock fatigue</t>
  </si>
  <si>
    <t>The displacement of conventional generation in favor of stochastic renewable requires increasing regulation duties from the remaining dispatchable resources. In high- and medium-head hydropower plants (HPPs), providing regulation services to the grid and frequently changing the plant’s set-point causes water hammer, which engenders pressure and stress transients within the pressurized conduits, especially the penstock, damaging it in the long run. This paper proposes a model predictive control (MPC) that explicitly models the hydraulic transients within the penstock. It achieves to reduce the mechanical loads on the penstock wall, and, consequently, fatigue effectively. Thanks to a suitable linearization of the plant model, the optimization problem underlying the MPC scheme is convex and can be solved with off-the-shelf optimization libraries. The performance of the proposed controller is tested with numerical simulations on a 230 MW medium-head HPP with Francis turbine providing primary frequency control. Simulation results show substantially reduced penstock fatigue, existing approaches outperformed, and problem resolution times compatible with real-time control requirements.</t>
  </si>
  <si>
    <t>Building on a novel bootstrapping modelling technique to predict region-wide critical care capacity requirements over the next decade</t>
  </si>
  <si>
    <t>ABSTRACT We have previously described an open-source data-driven modelling technique that has been used to model critical care resource provision as well as expanded to elective surgery and even whole-hospital modelling. Here, we describe the use of this technique to model patient flow and resource use across the West Yorkshire Critical Care Network, with the advantage that recommendations can be made at an individual unit level for future resource provision, taking into account changes in population numbers and demography over the coming decade. We will be using this approach in other regions around the UK to help predict future critical care capacity requirements.</t>
  </si>
  <si>
    <t>Proposal of a Visual Environment to Support Scrum</t>
  </si>
  <si>
    <t>Agile methodologies are increasingly considered important in the current context because of their focus on business benefit, strong stakeholder involvement and rapid incorporation of changing requirements. The Scrum methodology presents a generic and agile model for software development, but there are some gaps regarding solution architecture and requirements modeling and traceability. Fast customer feedback and support for volatile requirements result in higher product value, however, initial requirements modelling using modelling techniques are not commonly used in agile processes such as Scum to prepare the phase of Implementation of the software project. This article presents a first proposal for a visual environment to support the product / sprint backlog, helping to prioritize, track and decide on the most valuable, aligned and quickly deployable requirements.</t>
  </si>
  <si>
    <t>Experimental models of pneumonia-induced sepsis</t>
  </si>
  <si>
    <t>Pneumonia is the most frequent cause of sepsis. Numerous determinants of the pathogen and a large array of individual host factors contribute to the evolution of pneumonia-induced sepsis. Thus, developing models of pneumonia-induced sepsis requires consideration of a multitude of influencing factors, and a single model may be suitable to study specific aspects only. We here review recently published animal studies of pneumonia-induced sepsis, focussing on the requirements models need to fulfill for investigations on disease mechanisms and for preclinical testing of novel therapies.</t>
  </si>
  <si>
    <t>Structured Synthesis of Fault-Tolerant Supervisory Controllers⁎⁎This work is supported by Rijkswaterstaat, part of the Ministry of Infrastructure and Water Management of the Government of the Netherlands.</t>
  </si>
  <si>
    <t>Supervisory control synthesis for discrete-event systems can help in overcoming the growing complexity in the process of designing supervisors for cyber-physical systems. This is especially the case when fault-tolerance needs to be taken into account. The aim of this paper is to present a structured way of working that can be used for this purpose. Special attention is given to partitioning plant models and requirement models according to nominal and post-fault behavior. Extended finite-state automata and state-based requirement models are used as the modeling formalism. A case study involving a movable bridge (state space size: 8.4 × 1025) is presented to illustrate the proposed method.</t>
  </si>
  <si>
    <t>Chapter 12 - The System Dynamic Adaptability Concern</t>
  </si>
  <si>
    <t>In this chapter, the essence of the dynamic adaptation capability is examined from the perspective of requirements modeling. Dynamic adaptation is shown as a metalevel capability that is about the variability of the concrete application. Variability and the response to it are modeled as different conformance relationships among the application models: i.e., goal, environment, and basic system. Three kinds of conformance are differentiated to capture dynamic adaptation: goal-oriented adaptation, stimulus/response adaptation, and fine-grain adaptation. Feature models are used as the unique representation of these models, and then a new rule-based representation is used to represent the conformance relationships.</t>
  </si>
  <si>
    <t>Model predictive control of distributed energy resources in residential buildings considering forecast uncertainties</t>
  </si>
  <si>
    <t>Forecast uncertainties pose a considerable challenge to the success of model predictive control (MPC) in buildings. Numerous possibilities for considering forecast uncertainties in MPCs are available, but an in-depth comparison is lacking. This paper compares two main approaches to consider uncertainties: robust and stochastic MPC. They are benchmarked against a deterministic MPC and an MPC with perfect forecast. The MPCs utilize a holistic building model to reflect modern smart homes that include photovoltaic power generation and storage, thermally controlled loads, and smart appliances. Real-world data are used to identify the thermal building model. The performance of the various controllers is investigated under three levels of uncertainty for two building models with different envelope performance. For the highly insulated building, the deterministic MPC achieves satisfactory thermal comfort when the forecast error is medium or low, but the thermal comfort is compromised for high forecast errors. In the poorly insulated building, thermal comfort is compromised at medium and high forecast errors. Compared to the deterministic MPC, the robust MPC increases the electricity cost by up to 4.5% and provides complete temperature constraint satisfaction while the stochastic MPC increases the electricity cost by less than 1% and fulfills the thermal comfort requirements.</t>
  </si>
  <si>
    <t>From formulae, via models to theories: Dynamic Energy Budget theory illustrates requirements</t>
  </si>
  <si>
    <t>As sciences mature, they transition from observation and description to explanation and prediction. This transition is associated with qualitative changes in the way quantitative mathematical formulations are constructed and interpreted, resulting in a ‘theory’. Such transitions from phenomenology to theory are happening in biology but the heuristic framework involved is rarely articulated. We here describe how the use of models in research sets model requirements, using Dynamic Energy Budget (DEB) theory to illustrate the more elaborate ones. We first make the distinction between mathematical formulae and models based on their relation to the abstract and real worlds. We then explain how the transition from models to theory affects model construction and parameter estimation, and discuss the concept of parameter estimation-in-context using the database Add_my_Pet on animal energetics. The transition comes with the need to develop auxiliary and meta- theory and to work with multiple datasets, implying constraints for the loss function that is used for parameter estimation. Finally, we discuss the extra requirements for general explanatory models: they need to be explicit on relevant general principles and to be embedded in a wider scientific context. We also discuss how we see theory’s relationship to observation and prediction change in the future as we use it to deal with theoretical and applied problems in biology.</t>
  </si>
  <si>
    <t>Deep learning methods utilization in electric power systems</t>
  </si>
  <si>
    <t>The fast expansion of renewable energy sources, rising electricity demand, and the requirement for improved grid dependability have made it necessary to create cutting-edge technologies for electric power systems. The electric power business faces several issues, and deep learning, a branch of machine learning, has emerged as a possible solution. This study offers a thorough analysis of deep learning applications in electric power systems, including load forecasting, fault detection, and diagnosis, assessment of the security and stability of the power system, integration and management of renewable energy sources, and asset management and maintenance of the electric grid. Although deep learning techniques have enormous potential, several issues and constraints must be resolved. These include data quality and availability issues, computational complexity, resource requirements, model interpretability, and integration with current power system tools and infrastructure. Prospects and opportunities in the field are also covered in the study, emphasizing the creation of innovative deep learning algorithms and architectures, scalable and effective computational platforms, multidisciplinary research and collaboration, standardization, and benchmarking. Deep learning has the potential to completely transform the electric power industry by tackling these issues and seizing new opportunities. This would result in improved grid sustainability, resilience, dependability, and more effective use of renewable energy sources and asset management procedures. Researchers, business professionals, and politicians interested in learning more about the state, difficulties, and potential of deep learning applications in electric power systems will find this helpful research paper.</t>
  </si>
  <si>
    <t>Impact of occupant related data on identification and model predictive control for buildings</t>
  </si>
  <si>
    <t>Model predictive control (MPC) has shown potential in improving building performance but is bottlenecked by the difficulty in constructing control-oriented models. The challenge lies in evaluating the sufficiency of the model and the data usage beforehand. This paper bridges the knowledge gaps in the interactions between data requirements, model quality, and control performance by integrating real-world measurements and simulation-based experiments. The data usage related to occupancy and Internal heat gain (IHG) was studied considering its importance and the absence of consensus in the literature. Varying occupant-related data sources were tested as RC model inputs, including none, schedule, electricity consumption, CO2 ppm, and ideal measurement. Combinations of model inputs and complexities were examined for prediction and control in an office, a classroom, and multi-zone offices on one floor. The results indicated that the usefulness of data is jointly affected by three factors: measurement suitability, model complexity, and modeling purpose. Given the adequate model structure, satisfying prediction and control performance was achieved in offices with no detailed measurement. Meanwhile, electricity and CO2 were needed together to capture the IHG influence and realize the good performance for classrooms. The experiments also uncovered the heterogeneous requirements on models from traditional prediction tests and the control tasks. Lower prediction error did not always mean better control. More importantly, we provided the first quantitative demonstration of the complementary relationship between model adequacy and data informativeness with respect to different purposes. This study advocates the pioneering idea of sparse data usage and parsimonious modeling, which promotes the actual application of MPC in buildings by guiding control-oriented model development.</t>
  </si>
  <si>
    <t>Optimal glycine allowance levels in low-protein diets and the dynamic requirement model for broilers</t>
  </si>
  <si>
    <t>ABSTRACT This study aimed to investigate the effects of different glycine levels in low-protein diets on the growth, nitrogen deposition, and expression of intestinal amino acid and glucose transporters in broilers from 29 to 42 d of age, in order to determine the optimal glycine supplementation level. A total of 240 male broilers at 29 days old were randomly assigned to 5 groups: the control group with a crude protein level of 20%, and experimental groups with low-protein diets (LP130) containing 18% crude protein, supplemented with glycine to achieve standardized ileal digestible (SID) glycine + serine to lysine ratios of 134% (LP134), 140% (LP140), and 145% (LP145). The results showed that the LP134 group had similar growth performance and slaughter performance compared to the control group (P &gt; 0.05), whereas other low-protein diet groups had significantly lower growth performance (P &lt; 0.05). Regression analysis determined that the optimal ratio for SID glycine + serine to lysine was 137%. A dynamic model for glycine + serine requirements was established through binary regression analysis: y = 599.051 × BW^0.75 + 8.381 × ADG (R2 = 0.998, P &lt; 0.001). Feeding LP134, LP140, and LP145 diets significantly improved nitrogen deposition rates in broilers (P &lt; 0.05). Low-protein diets significantly upregulated mRNA levels of b0,+AT, EAAT3, and SGLT1 genes in the duodenum (P &lt; 0.05). In conclusion, appropriate glycine supplementation in low-protein diets can enhance growth performance, and nitrogen deposition efficiency, and regulate the expression of intestinal amino acid and glucose transporters. The optimal ratio of SID glycine + serine to lysine in low-protein diets for broilers aged 29 to 42 d is 137%.</t>
  </si>
  <si>
    <t>Model-based early and rapid estimation of COSMIC functional size – An experimental evaluation</t>
  </si>
  <si>
    <t>Context Functional size measurement methods are widely used but have two major shortcomings: they require a complete and detailed knowledge of user requirements, and they involve relatively expensive and lengthy processes. Objective UML is routinely used in the software industry to effectively describe software requirements in an incremental way, so UML models grow in detail and completeness through the requirements analysis phase. Here, we aim at defining the characteristics of increasingly more refined UML requirements models that support increasingly more sophisticated – hence presumably more accurate – size estimation processes. Method We consider the COSMIC method and three alternative processes (two of which are proposed in this paper) to estimate COSMIC size measures that can be applied to UML diagrams at progressive stages of the requirements definition phase. Then, we check the accuracy of the estimates by comparing the results obtained on a set of projects to the functional size values obtained with the standard COSMIC method. Results Our analysis shows that it is possible to write increasingly more detailed and complete UML models of user requirements that provide the data required by COSMIC size estimation methods, which in turn yield increasingly more accurate size measure estimates of the modeled software. Initial estimates are based on simple models and are obtained quickly and with little effort. The estimates increase their accuracy as models grow in completeness and detail, i.e., as the requirements definition phase progresses. Conclusion Developers that use UML for requirements modeling can obtain an early estimation of the application size at the beginning of the development process, when only a very simple UML model has been built for the application, and can obtain increasingly more accurate size estimates while the knowledge of the product increases and UML models are refined accordingly.</t>
  </si>
  <si>
    <t>A social and technical sustainability requirements catalogue</t>
  </si>
  <si>
    <t>Climate change calls for action from all sectors of our global economy, including ICT. Therefore, it is important to change the way we develop software to address the challenges posed by sustainability. Our goal is to contribute with a reusable sustainability requirements catalogue that helps developers be aware of sustainability-related properties worth considering during software development. The information for this catalogue was gathered via a systematic mapping study, whose results were synthesised in feature models and then modelled using iStar for a more expressive and configurable representation. A qualitative evaluation of the catalogue’s readability, interest, utility, and usefulness by 50 participants from the domain, showed that around 79% of the respondents found the catalogue “Good” or “Very Good”. However, more than 5% of the expert participants found weaknesses regarding most of the evaluated questions and around 25% are neutral in their overall evaluation. This led us to evolve the initial version of the catalogue for the social and technical dimensions of sustainability to improve its completeness and usefulness. This is achieved by aligning the information gathered in the systematic mapping study with the well-established quality model of the ISO/IEC 25010:2011, as we expect most of the experts are familiar with those qualities and respective hierarchies. During this process, we found information that led us to propose two additional qualities that were not covered by the ISO standard: fairness and legislation. We applied this evolved version of the catalogue to the U-Bike project comparing the requirements elicited without the catalogue with those identified using the catalogue. The result suggests that new sustainability requirements were worth considering from a sustainability point of view, supporting the usefulness of the catalogue.</t>
  </si>
  <si>
    <t>8 - International standards for short-circuit analysis in ac power systems</t>
  </si>
  <si>
    <t>Guidelines and standards for short-circuit analysis have been developed in some countries. These generally aim at producing consistency and repeatability of conservative results or results that are sufficiently accurate for their intended purpose. In this chapter, we summarise the data requirements, modelling and calculation steps given in international IEC 60909-0, American IEEE C37.010 and UK ER G74 approaches. We include IEC 60909-0 treatment of inverter-interfaced generators such as wind and solar generators.</t>
  </si>
  <si>
    <t>Serious Game as Learning Media for Reconfigurable Manufacturing System: A Model Development</t>
  </si>
  <si>
    <t>According to studies, the Reconfigurable Manufacturing System (RMS) is the most likely concept to assist manufacturers in remaining competitive in the market. RMS is a complex class of manufacturing systems, which necessitates a thorough understanding of process planning and scheduling to produce efficiently, and is, therefore, difficult to understand by practitioners. Besides their interest, RMS is not developed and is well known in the industry. On the other hand, serious games were an effective learning tool for engineers to make sensible, practical decisions by combining knowledge and skill acquisition. This research aims to design the first steps of creating a serious game that would improve understanding of RMS by introducing its core characteristics. This game would require the player to determine the optimum upgrade for a manufacturing system by reconfiguring the system's elements. The preliminary model generated in this study will include system elements that describe the core characteristics of RMS and how they are implemented in the serious game.</t>
  </si>
  <si>
    <t>Quantifying network flexibility requirements in terms of energy storage</t>
  </si>
  <si>
    <t>The energy storage requirement modelling tool outlined here uses an extension of the pinch methodology to quantify the network flexibility required due to greater variable renewable energy (VRE) integration. Quantifying this as the magnitude of energy storage required as a function of storage duration provides improved understanding of the fundamental balancing problem. Identification of the impact that key decision variables, such as location, VRE penetration and VRE that is supplied through wind have on these requirements has been enabled by condensing this dependence within two non-dimensional indices: the storage magnitude index and the storage duration index. These indices, in addition to the size of storage required, have enabled the tipping-points and VRE penetration levels beyond which short-term storage is not sufficient to be identified for the UK and Australian locations considered. In addition to how effective the provision of excess VRE is in the mitigation of the balancing requirements. This analysis shows that seasonal balancing is required at high levels of VRE penetration for all combinations of wind and solar sources, but can be needed with as low as 50% penetration at certain combinations and locations. The tipping-point is highly specific to location and VRE that is supplied through wind, varying between 30% and 50% of VRE penetration.</t>
  </si>
  <si>
    <t>Springer Link</t>
  </si>
  <si>
    <t>Model-Driven Requirements Engineering: Synchronising Models in an Air Traffic Management Case Study</t>
  </si>
  <si>
    <t>Different modelling techniques from different disciplines are needed to model complex socio-technical systems and their requirements. This paper describes the application of RESCUE, a process that integrates 4 modelling techniques to model and analyse stakeholder requirements for DMAN, a system for scheduling and managing the departure of aircraft from major European airports. It describes how human activity, use case and i* modelling were applied and integrated using synchronisation checks to model requirements on DMAN. Synchronisation checks applied at predefined stages in RESCUE revealed omissions and potential inconsistencies in the models and stakeholder requirements that, in turn, led to improvements to the models and resulting specification. The paper ends with implications for requirements model integration, and describes future work to extend and apply RESCUE.</t>
  </si>
  <si>
    <t>A Knowledge-Based and Model-Driven Requirements Engineering Approach to Conceptual Satellite Design</t>
  </si>
  <si>
    <t>Satellite systems are becoming even more complex, making technical issues a significant cost driver. The increasing complexity of these systems makes requirements engineering activities both more important and difficult. Additionally, today’s competitive pressures and other market forces drive manufacturing companies to improve the efficiency with which they design and manufacture space products and systems. This imposes a heavy burden on systems-of-systems engineering skills and particularly on requirements engineering which is an important phase in a system’s life cycle. When this is poorly performed, various problems may occur, such as failures, cost overruns and delays. One solution is to underpin the preliminary conceptual satellite design with computer-based information reuse and integration to deal with the interdisciplinary nature of this problem domain. This can be attained by taking a model-driven engineering approach (MDE), in which models are the main artifacts during system development. MDE is an emergent approach that tries to address system complexity by the intense use of models. This work outlines the use of SysML (Systems Modeling Language) and a novel knowledge-based software tool, named SatBudgets, to deal with these and other challenges confronted during the conceptual phase of a university satellite system, called ITASAT, currently being developed by INPE and some Brazilian universities.</t>
  </si>
  <si>
    <t>Theme section on model-driven requirements engineering</t>
  </si>
  <si>
    <t>Model-Based Requirements Engineering Framework for Systems Life-Cycle Support</t>
  </si>
  <si>
    <t>The recent migration from traditional sequential development process models to the more modern iterative and evolutionary process models has brought about an evolution in the scope of the requirements engineering process, along with new challenges of managing the requirements knowledge. In parallel, conceptual modeling throughout the development process has been receiving growing attention and wide acceptance.</t>
  </si>
  <si>
    <t>Towards Model-Driven Requirements Engineering for Serious Educational Games: Informal, Semi-formal, and Formal Models</t>
  </si>
  <si>
    <t>Serious educational games (SEGs) are receiving significant attention, as they provide immersive, engaging learning environments with a rigourous pedagogical foundation. SEG engineering requires an interdisciplinary approach involving game developers, educators, and software engineers. The requirements engineering (RE) community has substantial expertise in processes, notations, tools, and techniques. Here, we explore how can we tailor and adopt this expertise for developing SEGs with a three step model-based approach that integrates established techniques: create an informal model of the SEG requirements (narrative captured like a storyboard); transform the narrative into a semi-formal, tailored UML use case model (visual and tabular, using templates); transform the semi-formal model into formal models for testing and verification. A collection of SEGs (test games) has been created using the process; currently the transformations are performed manually. The formal model is represented in XML, which can be loaded, played, and tested in the game engine. In the future, we will explore semi-automatically transforming the models and creating Statechart models, which can be verified using simulations.</t>
  </si>
  <si>
    <t>A Requirements Reference Model for Model-Based Requirements Engineering in the Automotive Domain</t>
  </si>
  <si>
    <t>[Context and motivation] The use of conceptual models in automotive requirements engineering is impaired due to the lack of appropriate modelling guidelines. [Question/problem] The goal of this paper is to propose a requirements reference model that serves as the basis for defining such guidelines. [Principal ideas/results] The reference model distinguishes three abstraction layers and three content categories for requirements models. [Contribution] The reference model has been successfully applied in the REMsES project to support the development of a model-based requirements engineering approach for the automotive domain.</t>
  </si>
  <si>
    <t>Model-Based Requirements Engineering for Product Lines</t>
  </si>
  <si>
    <t>Requirements engineering is an important part of software and systems engineering but needs some specific support to apply it to product line engineering. Tracing requirements for different products of the product line to different architecture instantiations and component variants, and to the corresponding design decisions, by using a requirements model can reduce development time significantly. Requirements engineering is used in both the domain engineering and application engineering processes of product line engineering. A good requirements model can support major parts of both, such as commonality analysis and tracing of connections between requirements, architecture, components, and tests. This paper presents our approach for a such a model, and show how groups can work in parallel on products of the product family.</t>
  </si>
  <si>
    <t>Editorial: model-based requirements engineering</t>
  </si>
  <si>
    <t>Model-Based Requirements Engineering for Data Warehouses: From Multidimensional Modelling to KPI Monitoring</t>
  </si>
  <si>
    <t>A Data Warehouse (DW) is one of the main components of every BI system. It has been convincingly argued that the success of BI projects can be strongly affected by the Requirements Engineering (RE) phase, when the requirements of a DW are captured. Multiple RE methods for DWs have been proposed which have goal models in the core of their approach. Existing methods cover RE up to the static part of a DW, where the Multidimensional (MD) model is obtained. However, the RE for the dynamic part of the DW, where the requirements of operations on the DW are captured, has been neglected in the literature. In this paper, we propose a RE method, covering both the static and the dynamic part of a DW in an integrated manner. Our approach is to use the concept of a Key Performance Indicator (KPI). We initially use KPIs as the main driver to obtain the MD model and then discuss how decision-makers analyse them in order to measure the success of an organisation. In our method, the goal model from the i* framework was extended with UML use case diagrams.</t>
  </si>
  <si>
    <t>Identifying Uncertainty in Large-Scale Industry 4.0 Software Projects Through Model-Based Requirements Engineering</t>
  </si>
  <si>
    <t>Determining relationships between user requirements and software product functionalities enables an early-stage requirements evaluation and project risk assessment. This leads to preliminary uncertainty detection which can minimize gaps for the fulfillment of demanding needs. Therefore, a multi-step approach is introduced to elicit user requirements, define functional specification of software products, and classify project parts into four different uncertainty categories. The allocation is based on the determined relationship and considers requirements engineering as well as model-based approaches. Implementing the introduced approach provides distinct advantages, like the inclusion of unlimited number of project parts, the realization in any granular environment, and the unified communication between various numbers of stakeholders. Additionally, a continuous evaluation is given to the modular characteristics of the assessment criteria. Project management capabilities need to be considered during the simultaneous application of this methodology. This can have crucial impact on the achievement of desired project outcomes, especially in the context of the transition to Industry 4.0.</t>
  </si>
  <si>
    <t>From Requirements to Code: A Full Model-Driven Development Perspective</t>
  </si>
  <si>
    <t>Models play a paramount role in model-driven development (MDD): several modelling layers allow defining views of the system under construction at different abstraction levels, and model transformations facilitate the transition from one layer to the other. However, how to effectively integrate requirements engineering within model-driven development is still an open research challenge. This paper shows a full MDD approach that covers from requirements engineering to automatic software code generation. This has been achieved by the integration of two methods: Communication Analysis (a communication-oriented requirements engineering method [1]) and the OO Method (a model-driven object-oriented software development method [2]). For this purpose, we have proposed a systematic technique for deriving conceptual models from from business process and requirements models; it allows deriving class diagrams, state-transition diagrams and specifications of class service behaviour. The approach has been evaluated by means of an ontological evaluation, lab demos and controlled experiments; we are currently planning apply it under conditions of practice in an action research endeavour.</t>
  </si>
  <si>
    <t>SPARDL: A Requirement Modeling Language for Periodic Control System</t>
  </si>
  <si>
    <t>This paper develops a requirement modeling language called SPARDL for modeling and analyzing periodic control systems. The system consists of periodic behaviors together with a mode transition mechanism for different behavioral patterns, which is largely applied in the development of control systems of spacecrafts and automobiles. SPARDL can specify the features such as periodic driven behaviors, procedure invocations, timed guard, and mode transition, etc. Each mode in SPARDL can also contain complex activities such as controlling behaviors and data processing. To understand system behaviors precisely, a structural operational semantics is proposed for SPARDL. To analyze periodic control systems in SPARDL, a requirement prototype generation algorithm is proposed to simulate and test the requirements. Meanwhile, a case study is presented to illustrate our approach to requirement modeling and simulation in the development of control systems.</t>
  </si>
  <si>
    <t>COSRDL: An Event-Driven Control-Oriented System Requirement Modeling Method</t>
  </si>
  <si>
    <t>This paper develops a requirement modeling language called CosRDL for modeling and analyzing of the time series embedded control systems. The system consists of a series of parallel active task that is composed of the functions for different control behaviors, which is largely applied in the development of embedded control systems. CosRDL can specify the features event-driven behaviors, and each event in CosRDL can contain such as input/output and communication of active objects. The active object is a concept model that expresses a computing or control processing. It contains a set of operation, an event queue and task priority. A requirement model and system model of the CosRDL is proposed for analyzing event-driven control systems. The requirement model of CosRDL is built by directed acyclic graph (DAG) to describe the system behavior. The system model of CosRDL is built by uFusion framework. The uFusion was designed to implement the event-driven system architecture. Meanwhile, a case study is presented to illustrate our approach to requirement modeling in the development of event-driven control systems.</t>
  </si>
  <si>
    <t>A Comparative Analysis of ITU-MSC-Based Requirements Specification Approaches Used in the Automotive Industry</t>
  </si>
  <si>
    <t>Message sequence charts (MSC) and MSC-like languages play a pivotal role in requirements engineering. Particularly, when it comes to model-based requirements engineering, MSCs are used, e.g., to document scenarios, but also, specifically in the automotive domain, for specifying interaction sequences and the interaction-based behavior of such reactive systems. As the use of natural language requirements is still widespread, there exist various approaches to create MSC-specifications from natural language requirements. In this paper, we report on a comparative analysis to investigate different approaches for MSC-specification generation. To do so, we applied three approaches to an industrial case example from the automotive domain. Our results show that the different approaches lead to correct yet different MSC-specifications that exhibit different characteristics and are thus suited for different requirements engineering purposes.</t>
  </si>
  <si>
    <t>Use, potential, and showstoppers of models in automotive requirements engineering</t>
  </si>
  <si>
    <t>Several studies report that the use of model-centric methods in the automotive domain is widespread and offers several benefits. However, existing work indicates that few modelling frameworks explicitly include requirements engineering (RE), and that natural language descriptions are still the status quo in RE. Therefore, we aim to increase the understanding of current and potential future use of models in RE, with respect to the automotive domain. In this paper, we report our findings from a multiple-case study with two automotive companies, collecting interview data from 14 practitioners. Our results show that models are used for a variety of different purposes during RE in the automotive domain, e.g. to improve communication and to handle complexity. However, these models are often used in an unsystematic fashion and restricted to few experts. A more widespread use of models is prevented by various challenges, most of which align with existing work on model use in a general sense. Furthermore, our results indicate that there are many potential benefits associated with future use of models during RE. Interestingly, existing research does not align well with several of the proposed use cases, e.g. restricting the use of models to informal notations for communication purposes. Based on our findings, we recommend a stronger focus on informal modelling and on using models for multi-disciplinary environments. Additionally, we see the need for future work in the area of model use, i.e. information extraction from models by non-expert modellers.</t>
  </si>
  <si>
    <t>Eliciting user requirements for e-collaboration systems: a proposal for a multi-perspective modeling approach</t>
  </si>
  <si>
    <t>E-collaboration systems have become a new way of doing business that supports and enables communication, coordination and cooperation between people in shared projects and so on. Yet, eliciting user requirements for e-collaboration systems has proved to be a great challenge, due to the need to capture different knowledge for many different types of stakeholder. This paper proposes an approach for eliciting user requirements for e-collaboration systems. This approach takes a scenario description of e-collaboration systems as input and transforms it into a rich set of four-perspective requirement models, namely Coordination Model, Communication Model, Connection Model, and Collaboration Model. These models, respectively, represent the coordination, communication, connection, and collaboration characteristics of e-collaboration systems. Collectively, these models aim to provide a more complete and accurate requirements specification. An example from a collaborative office system is used to illustrate the applicability of the proposed approach. This paper also discusses practical implications of the proposed approach and then provides an assessment for the proposed approach.</t>
  </si>
  <si>
    <t>UML-based requirement modeling of Web online synchronous collaborative public participatory GIS</t>
  </si>
  <si>
    <t>This paper focuses on object-oriented software engineering (OOSE)-based software development life cycle (SDLC) for requirement analysis, design, and development of a Web collaborative public participatory geographic information system (PPGIS) (Co-PPGIS) infrastructure. Despite its importance, requirement engineering phase remains a neglected area in the geographical information system (GIS)-based SDLC. The absence of research and standardized requirement engineering (RE) process is more noticeable in the case of PPGIS applications, which are employed during municipality management, municipality planning, quick response, etc. This paper intends to introduce and suggest an OOSE standard requirement capturing model for the development of Web online Co-PPGIS. Using the unified modeling language (UML) Web-based Engineering (UWE) framework as the baseline, techniques for requirement elicitation, tailored for specific needs of synchronous collaborative PPGIS, are presented. Moreover, the requirement-gathering techniques range from checklists to creating user personas; the Web-based PPGIS aspect is handled through categorization of functional and non-functional requirements, including that of Web content and map visualization. Future work includes incorporation of UML-based requirement analysis and requirement validation techniques to complete the model. It is hoped with this research and better understanding of techniques and available methodology that requirement engineering practices will become widespread and contribute in adoption of a standardized RE process life cycle for PPGIS applications. Also, it is hypothesized that the Co-PPGIS would help to increase the degree to which the citizen, local bodies, environmental assessment, government agencies, and decision authorities work at the same time by using the single platform but at different locations with a lower cost and more effective real-time collaborative communication channels, partially due to the adoption of real-time geo-collaborative groupware technologies and OOSE-based requirement capturing methodology for the development of Co-PPGIS mapsharing mechanism.</t>
  </si>
  <si>
    <t>Composing Models for Detecting Inconsistencies: A Requirements Engineering Perspective</t>
  </si>
  <si>
    <t>[Context and motivation] Ever-growing systems’ complexity and novel requirements engineering approaches such as reuse or globalization imply that requirements are produced by different stakeholders and written in possibly different languages. [Question/ problem] In this context, checking consistency so that requirements specifications are amenable to formal analysis is a challenge. Current techniques either fail to consider the requirement set as a whole, missing certain inconsistency types or are unable to take heterogeneous (i.e. expressed in different languages) specifications into account. [Principal ideas/ results] We propose to use model composition to address this problem in a staged approach. First, heterogeneous requirements are translated in model fragments which are instances of a common metamodel. Then, these fragments are merged in one unique model. On such a model inconsistencies such as under-specifications can be incrementally detected and formal analysis is made possible. Our approach is fully supported by our model composition framework. [Contribution] We propose model composition as means to address flexibility needs in requirements integration. Threats to validity such as the impact of new requirements languages needs to be addressed in future work.</t>
  </si>
  <si>
    <t>Model-Driven Development in Practice: From Requirements to Code</t>
  </si>
  <si>
    <t>A crucial success factor in information systems development is the alignment of the final software product with business goals, business semantics and business processes. Developers should be freed from programming concerns and be able to concentrate on these alignment problems. To assess that the right capabilities are used, sound Conceptual Modeling (CM) techniques within a Model-driven system development (MDD) must be applied in order to provide a structured and systematic approach to systems development, where developers can successfully use model transformation technologies to derive models of a lower abstraction level that can be further refined, even generating software code automatically. From the experience got with the use of advanced MDD platforms, this keynote will show how to use a Capability-driven Development (CDD) strategy in order to integrate business process modelling (BPM), requirements engineering (RE) and object-oriented conceptual modelling with the objective of leveraging MDD capabilities. The current state of the art on modelling methods and code generation tools will be discussed to explore different ways to match an information system with business requirements. Concrete principles, concepts and common practices of MDD will be presented with a special focus on model-driven requirements engineering, meaning by it how BPM and requirements models can be embedded in a complete CM-based software production process.</t>
  </si>
  <si>
    <t>Full Model-Driven Practice: From Requirements to Code Generation</t>
  </si>
  <si>
    <t>A crucial success factor in information systems development is the alignment of the system with business goals, business semantics and business processes. Developers should be freed from programming concerns and be able to concentrate on these alignment problems. Model-driven system development (MDD) does not only provide a structured and systematic approach to systems development, but also offers developers the possibility of using model-transformation technologies to derive models of a lower abstraction level that can be further refined, and even generating software code automatically. This tutorial shows how to successfully integrate business process modelling (BPM), requirements engineering (RE) and object-oriented conceptual modelling with the objective of leveraging MDD capabilities. Participants work with state of the art modelling methods and code generation tools to explore different ways to match an information system with business requirements.</t>
  </si>
  <si>
    <t>Requirements Engineering for Data Warehouses (RE4DW): From Strategic Goals to Multidimensional Model</t>
  </si>
  <si>
    <t>Business Intelligence (BI) systems help organisations to monitor the fulfillment of business goals by means of tracking various Key Performance Indicators (KPIs). Data Warehouses (DWs) supply data to compute KPIs and therefore, are an important component of any BI system. While designing a DW to monitor KPIs, the following two important questions arise: (1) What data should be stored in a DW to measure a KPI, and (2) how the data should be modelled in a DW? We present a model-based Requirement Engineering (RE) framework to answer these questions. Our proposal consists of two major modelling components, namely, the context modelling component which is used to represent why and which data is required, and data modelling component which is used to model data as a multidimensional model.</t>
  </si>
  <si>
    <t>A Goal-Oriented Requirements Engineering Method for Business Processes</t>
  </si>
  <si>
    <t>Central to the development of BPMS technology was the promotion of a new language, Business Process Modelling Notation (BPMN). The primary goal of BPMN is to provide a common language for describing process behaviour, shareable by business and IT, which includes business users, business analysts, and technical developers. What seems to be missing in the way that business users are supposed to use BPMN, is an explicit consideration of the strategic rationale of having certain business processes as well as support for describing business processes in terms familiar to business people. We extended current work on Goal-Oriented Requirements Engineering (GORE) for business process design, i.e., B-SCP framework [1] and the work of Lapouchnian et al. [2], in order to obtain an appropriate GORE for BPMN modelling method. Our first contribution is the introduction of a B-SCP metamodel, which has been implemented by means of the Eclipse Modelling Framework. Our second contribution is an Eclipse-based B-SCP editor that enables business users to specify their strategic requirements and operational tasks. Our third contribution consists of model transformations to generate BPMN skeletons out of the B-SCP model, which were implemented by means of the Atlas Transformation Language.</t>
  </si>
  <si>
    <t>Applying MDRE in Practice</t>
  </si>
  <si>
    <t>After reading the previous chapters of this book, the reader might wonder how to apply the presented approach in the software engineering practice. It is obvious that in order to use Model-Driven Requirements Engineering, developers will need to update their everyday practices in software development. They will also need to use tools that enable the new and modified practices. In this chapter we present a methodology that provides guidelines in this respect. It encompasses a tool that implements the presented MDRE technology. It also presents necessary modifications to the roles, work products and tasks in a software development project, and especially to standard approaches to requirements engineering. The methodology generally treats the development of new systems, but it is also supplemented with techniques to reuse legacy software and apply patterns to reuse reoccurring behaviour.</t>
  </si>
  <si>
    <t>Using an Ideas Creation System to Assist and Inspire Creativity in Requirements Engineering</t>
  </si>
  <si>
    <t>Software product markets have become extremely competitive as there are always multiple software products striving to serve the users in the same application domain. In order to be successful, a software system needs to distinguish itself from other similar products and surprise users with novel and useful features. Obviously, creativity becomes much more important in a software engineering process, especially for requirements, as creative requirements engineering is crucial to new and surprising features or services. However, normally, with it focuses on elicitation, analysis, and management, research studies on requirements engineering do not offer strong support to creativity in requirements engineering. Naturally, services like idea generation can be involved to support creativity requirements engineering by eliciting innovative ideas from stakeholders. Although a considerable number of applications and research studies have been made in the past years in order to increase the effectiveness of idea making process, there is little work exists to design an ideas creation system for assisting and inspiring requirements. Meanwhile, it is lack of efforts working on creativity requirements in the requirements engineering perspective particularly. Therefore, the objective of this research paper is to propose an ideas creation system to assist engineering activities for generating creativity requirements. In particular, this paper designed an ideas creation framework and defined and classified a set of creativity elements according to creativity techniques. Then, it proposes a creative requirements engineering method that is supported by the designed ideas creation system and creativity elements, whilst the application domain is specific to the e-learning service. An inference engine is the kernel part in the idea generation process with domain ontology for the target field as the knowledge base. Hence, the generated ideas are inspiring stakeholders to get not only relevant and useful but also novel and surprising requirements.</t>
  </si>
  <si>
    <t>An Ontology-Based Approach to the Agile Requirements Engineering</t>
  </si>
  <si>
    <t>The paper presents an approach to the agile requirements engineering based on the OWL ontologies. A brief overview of the benefits of an ontology-based approach to requirements engineering is given. Attention is focused on agile engineering requirements process. The proposed approach uses three ontologies. The first ontology is used to represent knowledge about the agile requirements engineering process. The second ontology is designed to match natural language sentences with the requirements in order to identify conflicts. The third ontology is used to accumulate the knowledge about the domain of the software product. The first ontology is core. This ontology consists of classes corresponding to events, roles and artefacts of agile development. Object properties established between the individuals of class can be used to identify directly or indirectly linked requirements and requirements artefacts. This enables maintaining requirements traceability. Also the ontology takes into account particular qualities of working with the requirements in agile development processes including knowledge about the criteria for assessing the quality of user stories that is the most common form to record the requirements in agile methods. The ontologies are implemented in the Protégé environment.</t>
  </si>
  <si>
    <t>Idealized Fault-Tolerant Components in Requirements Engineering</t>
  </si>
  <si>
    <t>We have previously proposed a requirements development process, DREP, for dependable systems. In this paper, we draw a parallel between the notions defined in DREP and the elements of idealized fault-tolerant components (IFTCs). We show how the key ideas of IFTCs can be re-interpreted at the requirements engineering level and mapped to DREP concepts.</t>
  </si>
  <si>
    <t>Thirteen years of SysML: a systematic mapping study</t>
  </si>
  <si>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</si>
  <si>
    <t>Requirements Modeling and Validation Using Bi-layer Use Case Descriptions</t>
  </si>
  <si>
    <t>Extension of the modeling notations and formal languages for use case description are the commonly suggested solutions for adding precision to use case models. Practitioners have often argued against adoption of such techniques citing reasons like the steep learning curve for formal languages; and the quickness in using imprecise use case descriptions for communicating to different stake-holders of the system. In this paper we introduce the Archetest modeling environment, which through a unique bi-layer approach accepts use case descriptions in their imprecise form and then assists in adding precision through a wizard driven process. Thereby, it lends itself to both quick and precise modeling. Also the two forms of the use case models are self contained and cross-linked. This allows different modelers, the precise and the imprecise, to collaborate and also supports stake-holder specific feedbacks of the automated analysis. We describe the structure of Archetest’s use case models, and show how these models are amenable to automated processing. We present a case study which reports on typical modeling times using Archetest and demonstrates its scalability.</t>
  </si>
  <si>
    <t>Challenges in Context-Aware Requirements Modeling: A Systematic Literature Review</t>
  </si>
  <si>
    <t>Context-aware applications are becoming increasingly popular as they can adapt their behaviors to situations. However, the modeling of context-aware requirements is challenging owing to the inherent complexity and dynamicity of the context. Therefore, learning from existing studies can help academia and industry overcome the challenges. The primary objectives of this study are as follows: (1) survey the state-of-the-art of context-aware requirements modeling; (2) determine the challenges in context-aware requirements modeling and the extent to which the challenges have been addressed; (3) explore the future research directions of context-aware requirements modeling. We adopt the method of systematic literature review to retrieve relevant studies and extract available data aimed at the objectives. Seventy-two studies are finally selected. After data synthesis, we identify 4 categories of 13 challenges in context-aware requirements modeling. Based on the findings, we analyze the extent to which the challenges have been addressed and suggest future research directions.</t>
  </si>
  <si>
    <t>Distributed Real-Time Behavioral Requirements Modeling Using Extended UML/SPT</t>
  </si>
  <si>
    <t>Distributed real-time systems call for expressive modeling languages to capture and express their functional and nonfunctional requirements at early stages of the development process. The UML profile for Schedulability, Performance and Time (UML/SPT) is an object-oriented real-time modeling language. UML/SPT has been designed using the built-in extension mechanisms of UML, which makes it flexible and customizable. In this paper, we propose an extension for UML/SPT to capture multicast communications. We define a metamodel that encapsulates the main concepts involved in multicast communications, we show its relationship to UML/SPT domain model, and we introduce new stereotypes corresponding to these concepts. We illustrate the extension with the modeling of the Reliable Multicast Transport Protocol (RMTP2). Finally, we compare our approach to extend UML/SPT for multicast communications with an extension for MSC having the same purpose.</t>
  </si>
  <si>
    <t>Integrating Domain Modeling Within a Formal Requirements Engineering Method</t>
  </si>
  <si>
    <t>One way to build safe critical systems is to formally model the requirements formulated by stakeholders and to ensure their consistency with respect to domain properties. This paper describes a metamodel for a domain modeling language built from OWL and PLIB. The language is part of the SysML/KAOS requirements engineering method which also includes a goal modeling language. The formal semantics of SysML/KAOS models is specified, verified, and validated using the Event-B method. Goal models provide machines and events of the Event-B specification while domain models provide its structural part (sets and constants with their properties and variables with their invariant). Our proposal is illustrated with a case study dealing with the specification of a localization component for an autonomous vehicle.</t>
  </si>
  <si>
    <t>book</t>
  </si>
  <si>
    <t>The Design of Requirements Modelling Languages: How to Make Formalisms for Problem Solving in Requirements Engineering</t>
  </si>
  <si>
    <t>A Requirements Modeling Language and Its Logic</t>
  </si>
  <si>
    <t>This chapter describes aspects of a Requirements Modeling Language (RML) which can be used in the initial phases of software development. RML is based on the idea that a requirements specification should embody a conceptual world model, and that the language for expressing it should provide facilities for organizing and abstracting details, yet at the same time have qualities such as precision, consistency, and unambiguity.</t>
  </si>
  <si>
    <t>Agent Story: An Agile Requirements Modeling Approach for Multi-agent Paradigm</t>
  </si>
  <si>
    <t>Agents and multi-agent systems are currently one of the most interesting research fields in the computer science community; especially the natural way of capturing the structure and the behavior of complex systems has stimulated this huge interest Lind (Issues in agent-oriented software engineering, 2000). As this paradigm advance, systematic methods are needed to support the development of multi-agent systems. General approaches for identifying, modeling, and analyzing user requirements for specific multi-agent software systems based on goal models have been suggested DeLoach (Multiagent systems engineering a methodology and language for designing agent systems, 1999), Tveit (A survey of agent-oriented software engineering, 2001). Nonetheless, those approaches suffer from rigidity and complexity for a customer to validate and review his needs as gathered by business analyst. In this paper, we present an agile requirements engineering approach to model multi-agent system requirements in the form of agent stories capturing skills and capabilities from the agent perspective. The agent stories can then be estimated, prioritized and traced separately. To illustrate the approach benefits, a Weapon Mass Destructive (WMD) system example is presented. The example is also used to compare our suggested approach with a goal-based one.</t>
  </si>
  <si>
    <t>Requirements Modeling and Automatic Transformations Towards Autonomous Driving Scenarios Description</t>
  </si>
  <si>
    <t>Autonomous Driving Systems (ADSs) have been developed quickly in recent years, robust and complete system requirements are essential for high-quality ADSs. Requirements modeling is a process of describing and analyzing system requirements using various techniques, which is a critical step for ensuring high-reliability requirements. Restricted Use Case Modeling (RUCM) is a use case modeling method to reduce the ambiguity of requirements written in natural language, which has been extended to diverse applications. By extending RUCM with autonomous driving concepts, RUCM for Autonomous Driving Systems (RUCM4ADS) can specify autonomous driving scenarios in the form of use case specifications and diagrams. However, due to the diversity and complexity of autonomous driving scenarios, the constructed requirement models require multiple manifestations to be compared and analyzed. To this end, in this paper, we extend the metamodel of the Unified Modeling Language (UML) class and activity diagrams according to the Wise Drive framework for accurately expressing autonomous driving concepts and behaviors. Further, we realize modeling autonomous driving scenarios with extended UML meta-models, which enrich the manifestation of autonomous driving requirements. Meanwhile, we propose automatic model transformation approaches to promote the automatic analysis of autonomous driving scenario requirements, which generates UML extended models from RUCM4ADS models based on proposed extended metamodels. Finally, two real-world autonomous driving scenarios are used to verify the feasibility and effectiveness of the proposed model transformation approach. Results show that our proposed approach is effective, and can generate high semantic and syntactic accuracy class diagrams and activity diagrams with autonomous driving concepts and behaviors.</t>
  </si>
  <si>
    <t>INCREMENT: A Mixed MDE-IR Approach for Regulatory Requirements Modeling and Analysis</t>
  </si>
  <si>
    <t>[Context and motivation] Regulatory requirements for Nuclear instrumentation and control (I&amp;C) systems are first class requirements. They are written by national safety entities and are completed through a large documentation set of national recommendation guides and national/international standards. [Question/Problem] I&amp;C systems important to safety must comply to all of these requirements. The global knowledge of this domain is scattered through these different documents and not formalized. Its organization and traceability relationships within this domain is mainly implicit. As a consequence, such long lasting nuclear I&amp;C projects set important challenges in terms of tacit expertise capitalization and domain analysis. [Principal ideas/results] To tackle this domain formalization issue, we propose a dual Model-driven Engineering (MDE) and Information Retrieval (IR) approach to address the nuclear regulatory requirements domain definition, and assisted traceability based on the acquired requirements model. [Contributions] In this paper, we present the Connexion metamodel that provides a canvas for the definition and capitalization of the nuclear regulatory requirements domain. We also present an hybrid MDE/IR-based approach, named INCREMENT, for acquiring, modeling and analyzing these regulatory requirements. This approach is supported by a tool that is developed in the context of the CONNEXION project, which gathers French major nuclear I&amp;C industrial actors.</t>
  </si>
  <si>
    <t>Model-Based Approach for Engineering Adaptive User Interface Requirements</t>
  </si>
  <si>
    <t>Although Model-Based User Interface (MBUI) design approaches have been suggested and researched over a long period of time, the advantages of adopting them into the development of Adaptive User Interface (AUI) have not stood out. We believe that it is due to the lack of an integration of the Requirements Engineering (RE) process, and methodologies for Model-based AUI development. Since RE provides a solid base to the development of software, requirements of AUI have to be preceded appropriately in the development process. Previously, we suggested a RE method for AUI reflecting the viewpoint of Self Adaptive System (SAS). In this paper, we elaborate on our previous method grounded on a model-based approach. The proposed method is illustrated with an example scenario, which makes adaptations of the user interface at run-time by conforming to the context of users. Finally, an evaluation of our method is provided by a case study at the end of the paper.</t>
  </si>
  <si>
    <t>Checklists, Templates, and Services for Requirements Modeling Language Design</t>
  </si>
  <si>
    <t>This chapter presents three simple tools called language checklists, templates, and services, and explains why and how they are used in this book. They help make it manageable to define many languages, compare them, and carry their features from one to another. Language checklists give items to include in a definition of a requirements modeling language and its parts. Each checklist suggests a template, so that when it is relevant to define a requirements modeling language or its part according to a checklist, there is a corresponding template to fill out. Services describe specific problem-solving tasks that a language and relevant algorithms automate for a human problem solver. I use services to describe the purpose of a language and its parts in problem solving, checklists to avoid missing important parts of definitions, and Templates to standardize the presentation of definitions.</t>
  </si>
  <si>
    <t>BRM—A Behavior Based Requirements Modeling Method</t>
  </si>
  <si>
    <t>Software behaviors have long been recognized to be essential components involved in requirements modelling process by many researchers both from academia and industry. In this paper, we propose a divide and conquer modeling method – Behavior based Requirements Modeling method (BRM), to modeling behaviors of software system. The target system is decomposed into sub-domains, ViewPoints(VPs), and scenarios at successive levels. Requirements modeling could be carried out in different VPs respectively. Behaviors of the target system are identified within each scenario. A formal description language – Behavior Description Language (BDL) is proposed to describe these behaviors, as well as the model of the target system.</t>
  </si>
  <si>
    <t>MBIPV: a model-based approach for identifying privacy violations from software requirements</t>
  </si>
  <si>
    <t>Nowadays, large-scale software systems in many domains, such as smart cities, involve multiple parties whose privacy policies may conflict with each other, and thus, data privacy violations may arise even without users being aware of it. In this context, identifying data security requirements and detecting potential privacy violations are crucial. In the area of model-based security requirements analysis, numerous research efforts have been done. However, few existing studies support automatic privacy violation identification from software requirements. To fill this gap, this paper presents MBIPV, a Model-Based approach for Identifying Privacy Violations from software requirements. First, this paper identifies six types of privacy violations in software requirements. Second, the MBIPV profile is proposed to support modeling software requirements using UML. Third, the MBIPV prototype tool is developed to generate formal models and corresponding privacy properties automatically. Then, the privacy properties are automatically verified by model checking. We evaluated the MBIPV method through case studies of four representative software systems from different domains: smart health, smart transportation, smart home, and e-commerce. The results show that MBIPV has high accuracy and efficiency in identifying the privacy violations from the software requirements. To the best of our knowledge, MBIPV is the first model-based approach that supports the automatic verification of privacy properties of UML software requirement models. The source code of the MBIPV tool and the experimental data are available online at https://github.com/YETONG1219/MBIPV.</t>
  </si>
  <si>
    <t>RE4Gaia: A Requirements Modeling Approach for the Development of Multi-Agent Systems</t>
  </si>
  <si>
    <t>This paper presents RE4Gaia, which is a requirements modeling approach for the development of multi-agent systems extending the Gaia methodology. The approach focus on dealing with the organizational structure as a means to adequately capturing and understanding required roles and associated functions, in the context of a organization, prior to the analysis and design of the MAS using Gaia. In addition, a traceability framework is introduced in order to facilitate moving from the requirements models to the analysis and design models proposed in Gaia.</t>
  </si>
  <si>
    <t>Requirements Modeling for Families of Complex Systems</t>
  </si>
  <si>
    <t>This paper introduces an approach to the specification of system families. The main ingredient of this approach is the definition of use cases hand in hand with a requirements object model. Instead of specifying individual systems, we specify a domain, i.e., a conceptual space of possible systems, in which individual systems can be defined by fixing a number of variation points. In that way we obtain a strong cohesion within the family and concise specifications of its members. We also describe a process suitable for this specification approach and indicate how the transition to the design phase can take place. Our approach was validated in one large project and several smaller ones.</t>
  </si>
  <si>
    <t>Integrating Business Domain Ontologies with Early Requirements Modelling</t>
  </si>
  <si>
    <t>Requirements engineering is an important and complex phase during systems development because it combines the description of the system’s domain with the elicitation, specification and validation of application-specific requirements. In this paper we propose an ontology-based requirements engineering approach that integrates the use of domain ontologies to capture domain knowledge into early requirements modelling techniques, which primarily aim at eliciting and representing the organisational and intentional context of the system. The proposed approach can be used with different types of domain ontologies and different requirements engineering techniques. The approach is illustrated using the REA enterprise ontology, the E3-value ontology and the i* requirements modelling framework.</t>
  </si>
  <si>
    <t>Assessment of a Formal Requirements Modeling Approach on a Transportation System</t>
  </si>
  <si>
    <t>This paper describes a case study of the SysML/KAOS method for a road transportation system for the City of Montreal (VdM), the second-largest city in Canada. The transportation system was developed from unstructured requirements represented in textual and schematic documents. Therefore, the VdM wanted to investigate new ways of organising and analysing the requirements of traffic projects, in order to increase the level of confidence in their safety, usability and reusability. This paper describes the formal specification, verification and validation of system requirements and provides an appraisal of the SysML/KAOS requirements engineering method on an industrial-scale case study. SysML/KAOS is designed within the ANR FORMOSE project to bridge the gap between stakeholder needs and the formal specification of system functionalities and domain constraints. The method has proven useful to deal with the seven refinement levels, twelve components (human, hardware, software and cyber-physical) and a hundred functional and non-functional goals that constitute the specification of the road transportation system, mainly focused on the safe movement of vehicles on road. It especially facilitated their validation with VdM stakeholders who had never dealt with formal methods and requirements engineering. Animation tools (ProB and B-Motion Studio) were also used to validate the formal specification with VdM stakeholders. This paper also reports improvements identified to enhance the expressiveness of SysML/KAOS goal modeling languages during validation sessions with VdM stakeholders. This includes the introduction of a non-functional goal refinement strategy based on logical formulas and of an obstacle modeling language.</t>
  </si>
  <si>
    <t>Flexible Sketch-Based Requirements Modeling</t>
  </si>
  <si>
    <t>[Context and motivation] Requirements engineers and stakeholders like to create informal, sketchy models in order to communicate ideas and to make them persistent. They prefer pen and paper over current software modeling tools, because the former allow for any kind of sketches and do not break the creative flow. [Question/problem] To facilitate requirements management, engineers then need to manually transform the sketches into more formal models of requirements. This is a tedious, time-consuming task. Furthermore, there is a risk that the original intentions of the sketched models and informal annotations get lost in the transition. [Principal ideas/results] We present the idea for a seamless, tool-supported transition from informal, sketchy drafts to more formal models such as UML diagrams. Our approach uses an existing sketch recognizer together with a dynamic library of modeling symbols. This library can be augmented and modified by the user anytime during the sketching/modeling process. Thus, an engineer can start sketching without any restrictions, and can add both syntax and semantics later. Or the engineer can define a domain-specific modeling language with any degree of formality and adapt it on the fly. [Contribution] In this paper we describe how our approach combines the advantages of modeling with the freedom and ease of sketching in a way other modeling tools cannot provide.</t>
  </si>
  <si>
    <t>Applying Acceptance Requirements to Requirements Modeling Tools via Gamification: A Case Study on Privacy and Security</t>
  </si>
  <si>
    <t>Requirements elicitation, analysis and modeling are critical activities for software success. However, software systems are increasingly complex, harder to develop due to an ever-growing number of requirements from numerous and heterogeneous stakeholders, concerning dozens of requirements types, from functional to qualitative, including adaptation, security and privacy, ethical, acceptance and more. In such settings, requirements engineers need support concerning such increasingly complex activities, and Requirements Engineering (RE) modeling tools have been developed for this. However, such tools, although effective, are complex, time-consuming and requiring steep learning curves. The consequent lack of acceptance and abandonment in using such tools, by engineers, paves the way to the application of RE techniques in a more error-prone, low-quality way, increasing the possibility to have failures in software systems delivered. In this paper, we identify main areas of lack of acceptance, affecting RE engineers, for such tools, and propose an approach for making modeling tools more effective in engaging the engineer in performing RE in a tool-based way, receiving adequate feedback and staying motivated to use modeling tools. This is accomplished by performing acceptance requirements analysis (through the Agon Framework) and using gamification to increase the engagement of engineers during the usage of RE modeling tools. Towards this end, we performed a case study, within the VisiOn European Project, for enhancing a tool for modeling privacy and security requirements. Our case study provides preliminary evidence that our approach supports in making RE modeling tools more engaging from the engineer perspective.</t>
  </si>
  <si>
    <t>A Chatbot for Goal-Oriented Requirements Modeling</t>
  </si>
  <si>
    <t>Goal-Oriented Requirements Engineering approaches, in which the KAOS framework plays a key role, have been widely used for eliciting software requirements because they provide an easier way of communicating among stakeholders. However, the goal-oriented requirements modeling is not an easy way for novice requirements engineers. These professionals need more support in creating KAOS models. Recent studies have focused on the applicability of Artificial Intelligence techniques (e.g., Natural Language Processing – NLP) to support Requirements Engineering activities. In this sense, this paper aims to describe a way to support requirements elicitation for novice requirements engineers through the use of NLP within a chatbot. The chatbot (KAOSbot) acts as a KAOS modeling assistant. To evaluate our hypotheses about perceived efficacy from the novice requirements engineers perspective, we performed a quasi-experiment concerning KAOSbot’s perceived ease of use, perceived usefulness and intention to use. The results show that KAOSbot tool is a promising approach for specifying KAOS models because it was perceived as easy to use, useful, and the participants intend to use it in the future.</t>
  </si>
  <si>
    <t>Using VCL as an Aspect-Oriented Approach to Requirements Modelling</t>
  </si>
  <si>
    <t>Software systems are becoming larger and more complex. By tackling the modularisation of crosscutting concerns, aspect orientation draws attention to modularity as a means to address the problems of scalability, complexity and evolution in software systems development. Aspect-oriented modelling (AOM) applies aspect-orientation to the construction of models. Most existing AOM approaches are designed without a formal semantics, and use multi-view partial descriptions of behaviour. This paper presents an AOM approach based on the Visual Contract Language (VCL): a visual language for abstract and precise modelling, designed with a formal semantics, and comprising a novel approach to visual behavioural modelling based on design by contract where behavioural descriptions are total. By applying VCL to a large case study of a car-crash crisis management system, the paper demonstrates how modularity of VCL’s constructs, at different levels of granularity, help to tackle complexity. In particular, it shows how VCL’s package construct and its associated composition mechanisms are key in supporting separation of concerns, coarse-grained problem decomposition and aspect-orientation. The case study’s modelling solution has a clear and well-defined modular structure; the backbone of this structure is a collection of packages encapsulating local solutions to concerns.</t>
  </si>
  <si>
    <t>Extending UML with Non-functional Requirements Modelling</t>
  </si>
  <si>
    <t>Non-Functional Requirements (NFR) have been for too long overlooked during the development of software systems, leading in numerous cases to failure, an over budget or even cancellation of projects. In this paper, we propose a solution to integrate the modelling of NFRs into the UML diagrams. Our framework is inspired by several proposals in this critical area, but it is the first time that a unified process, allowing possible integration of NFRs in necessary UML diagrams, is proposed.</t>
  </si>
  <si>
    <t>Requirements Modeling and MDA – Proposal for a Combined Approach</t>
  </si>
  <si>
    <t>Conceptual modeling and MDA is becoming more and more important for Information Systems (IS) development. Tools which support code generation are already on the market. However, the problem still remains, that end users who are not familiar with these models do not understand them. As a result, the communication is still on a very concrete level based on the natural language description of requirements with all it’s deficiencies (e.g. ambiguity, incompleteness and huge requirements documents).</t>
  </si>
  <si>
    <t>An integrated approach to teaching requirements modelling</t>
  </si>
  <si>
    <t>The production of a sound specification is fundamental to good software engineering. This paper introduces a conceptual framework for requirements modelling and goes on to discuss the role of mathematics in requirements specification.</t>
  </si>
  <si>
    <t>Automatically multi-paradigm requirements modeling and analyzing: An ontology-based approach</t>
  </si>
  <si>
    <t>There are several purposes for modeling and analyzing the problem domain before starting the software requirements analysis. First, it focuses on the problem domain, so that the domain users could be involved easily. Secondly, a comprehensive description on the problem domain will advantage getting a comprehensive software requirements model. This paper proposes an ontology-based approach for modeling the problem domain. It interacts with the domain users by using terminology that they can understand and guides them to provide the relevant information. A multiple paradigm analysis approach, with the basis of the description on the problem domain, has also been presented. Three criteria, i.e. the rationality of organization structure, the achievability of organization goals, and the feasibility of organization process, have been proposed. The results of the analysis could be used as feedbacks for guiding the domain users to provide further information on the problem domain. And those models on the problem domain could be a kind of document for the pre-requirements analysis phase. They also will be the basis for further software requirements modeling.</t>
  </si>
  <si>
    <t>An Analysis Pattern Driven Analytical Requirements Modeling Method</t>
  </si>
  <si>
    <t>Analytical requirements are the basis for building the enterprise data models that are used to develop the IT assets that deliver the analytical requirements to business users [10]. Due to the difficulties existed in the modeling and analysis process, reusing existing analysis experiences becomes a good choice to find an optimal way from problem domain to solution domain efficiently. To help data analysts use previous experience to elicit and model analytical requirements and find satisfactory solutions, an analysis pattern driven analytical requirements modeling method is proposed. It utilizes analysis patterns to help analysts model the relationships between data domains and machine domains, and select available analysis models under the guidance of measurable analytical goals. The modeling process is an interactive and iterative process, which uses the feedbacks from analysts to adjust its analysis behavior on real time. To illustrate the method more specifically, we apply it on requirements tracing.</t>
  </si>
  <si>
    <t>A Holistic Approach for Integrated Requirements Modeling in the Product Development Process</t>
  </si>
  <si>
    <t>Product development is becoming more and more complex. As a consequence of the increasing product complexity and the involvement of multi-disciplinary supply chains in product development, the modeling of requirements has become a highly significant part of the product development process. Requirements are often isolated and limited to certain development stages. A solution is the continuous integration of requirements into the product development process. This paper provides a concept for the consistent modeling of requirements in the product development process.</t>
  </si>
  <si>
    <t>Separation of Concerns and Consistent Integration in Requirements Modelling</t>
  </si>
  <si>
    <t>Due to their increasing complexity, design of software systems is not becoming easier. Furthermore, modern applications ranging from enterprise to embedded systems require very high levels of correctness and dependability assurance. The most effective means to handle complexity is separation of concerns and incremental development, and assurance of correctness requires formal modelling and formal analysis. When separation of concerns splits the model into several parts, an important issue is to ensure consistency among these parts. We propose an approach supporting separation of concerns and consistent and incremental modelling of requirements.</t>
  </si>
  <si>
    <t>A Common Framework for Synchronization in Requirements Modelling Languages</t>
  </si>
  <si>
    <t>The ability to describe synchronization between the components of a model is a fundamental primitive in modelling languages. After studying existing modelling languages, we discovered that many synchronization mechanisms can be organized into a common abstract framework. Our framework is based on a notion of synchronization between transitions of complementary roles. It is parameterized by the number of interactions a transition can take part in, i.e., one vs. many, and the arity of the interaction mechanisms, i.e., exclusive vs. shared, which are considered for the complementary roles to result in 16 synchronization types. We describe how many modelling constructs, such as multi-source, multi-destination transitions, many composition operators, and many workflow patterns are forms of synchronization. By generalizing and classifying synchronization types independently of a particular language, our goal is to enable language designers to adopt an appropriate synchronization type for a domain effectively.</t>
  </si>
  <si>
    <t>A WebGIS Interface Requirements Modeling Language</t>
  </si>
  <si>
    <t>WebGIS applications have become popular due to technological advances in location and sensor technology, with diverse examples with different objectives becoming available. However, there is a lack of requirements elicitation approaches for WebGIS applications, restricting the communication between stakeholders, compromising the systematization of development, and the overall quality of the resulting systems. In this paper, we present the WebGIS Interface Requirements Modeling Language (WebGIS IRML), developed to support communication between stakeholders and developers, addressing user interface requirements during the development process of a WebGIS application. WebGIS IRML is supported by a requirements model editor, which was developed using Model-Driven Development (MDD) techniques. We also describe an experiment which was performed to evaluate the language, involving 30 participants (mostly IT Engineers), to measure the ease of understanding of the language models resulting from the use of the language in the editor and capture the feedback of participants about it. Generally, the results were quite positive, encouraging the use of the language for WebGIS development.</t>
  </si>
  <si>
    <t>Requirements Modelling and System Specification in a Logic Based Knowledge Representation Framework</t>
  </si>
  <si>
    <t>Requirements modeling and specification is a knowledge intensive task, so influence of pioneering work on knowledge representation like the KL-ONE language [BS85] and related approaches using the concepts of semantic networks and frame-based systems [BL85] started relatively early. Especially the concepts of objects, systematized by abstraction principles ofclassification,specialization andaggregationturned out to be very suitable for the specification of large Information Systems [Gre84]. This approach was further enhanced by adding logical assertions to express the intended meaning of the objects. This lead to the Conceptual Modelling Language CML [Sta86] and to its enhanced version System Modelling Language SML described in this chapter.</t>
  </si>
  <si>
    <t>reqT.org – Towards a Semi-Formal, Open and Scalable Requirements Modeling Tool</t>
  </si>
  <si>
    <t>[Context and motivation] This research preview presents ongoing work on a free software requirements modeling tool called reqT that is developed in an educational context. [Question/problem] The work aims to engage computer science students in Requirements Engineering (RE) through a tool that captures essential RE concepts in executable code. [Principal ideas] Requirements are modeled using an internal DSL in the Scala programming language that blends natural language strings with a graph-oriented formalism. [Contribution] The metamodel of reqT and its main features are presented and modeling examples are provided together with a discussion on initial experiences from student projects, limitations and directions of further research.</t>
  </si>
  <si>
    <t>7 Requirements Modeling for Embedded Realtime Systems</t>
  </si>
  <si>
    <t>Requirements engineering is the process of defining the goals and constraints of the system and specifying the system’s domain of operation. Requirements activities may span the entire life cycle of the system development, refining the system specification and ultimately leading to an implementation. This chapter presents methodologies for the entire process from identifying requirements, modeling the domain, and mapping requirements to architectures.</t>
  </si>
  <si>
    <t>Functional Requirements Modelling for Interactive TV Applications</t>
  </si>
  <si>
    <t>[Context and motivation] There is a scarcity of proposals for functional requirements modelling for the interactive TV applications (iTV); this is a complex problem due to several fields/factors/dimensions/trends involved; therefore, it is necessary to give support to model iTV requirements. [Question/problem] We have found in the literature some iTV task classifications; some of their limitations are: classifications of actions were not proposed, the action classes found are not enough, it was not explained for each functionality kind how to systematically describe its members in terms of action classes of a taxonomy of actions, and the task classes are not enough for practical iTVs. [Principal ideas/results] For iTV applications we defined two UML profiles: one extending use case diagrams (UCD), and another extending activity diagrams (AD) for describing use cases (UC); 4 real iTVs were (partially) considered to illustrate the use of both profiles. [Contribution] Both profiles describe useful classifications with tasks/actions classes not found in the literature; for the identification of UCs we consider using few criteria instead of considering a lot of task classes; for every UC kind we indicate which action kinds must be used (for describing UCs of this kind); our approach allows to answer the question: to what kind of stakeholder a UC implementation should be assigned.</t>
  </si>
  <si>
    <t>The Socio-technical Security Requirements Modelling Language for Secure Composite Services</t>
  </si>
  <si>
    <t>Composite services foster reuse and efficiency in providing consumers with different functionalities (services). However, security aspects are a major concern, considering that both service consumers and providers are autonomous and heterogeneous—thus, loosely controllable entities. When consumers provide information in order to be furnished some service, what happens to that information? Do service consumers trust service providers? In order to tackle the design of secure and trustworthy composite services, we should consider the security requirements such a composition must satisfy. We propose STS-ml, a security requirements modelling language that allows modelling security requirements over participants’ (consumers and providers) interactions. These security requirements are expressed in terms of social contracts the various parties shall comply with while interacting (consuming/furnishing some service). Most importantly, STS-ml considers social and organisational threats that might affect the said composite services. In this chapter, we give an overview of STS-ml, introducing its modelling and reasoning capabilities while building models from the Aniketos eGovernment case study and verifying that the composite service complies with the specification, as well as checking whether a recomposition is needed.</t>
  </si>
  <si>
    <t>Towards a Requirements Modeling Language for Self-Adaptive Systems</t>
  </si>
  <si>
    <t>[Context and motivation] Self-adaptive systems (SAS) monitor and adapt to changing end-user requirements, operating context conditions, and resource availability. Specifying requirements for such dynamic systems is not trivial. Most of the research on self-adaptive systems (SAS) focuses on finding solutions to the requirements that SAS is built for. However, elicitation and representation of requirements for SAS has received less attention at early stages of requirements engineering (RE). [Question/problem] How to represent requirements for SAS in a way which can be read by non-engineering stakeholders? [Principal ideas/results] A requirements modeling language with a diagrammatic syntax to be used to elicit and represent requirements for SAS and perform analysis based on our recently proposed core ontology to perform RE for SAS. [Contribution] A modeling language, called Adaptive RML, for the representation of early requirements for Self-adaptive systems (SAS). The language has graphical primitives in line with classical goal modeling languages and is formalized via a mapping to Techne. Early validation is performed by modeling the same case study in an established goal modeling language and in Adaptive RML. The results suggest that context and resource concepts, as well as relegation and influence relations should be part of graphical modeling languages used to make early requirements models for SAS and to perform analysis over them.</t>
  </si>
  <si>
    <t>An exploratory study of the general requirement representation model for product configuration in mass customization mode</t>
  </si>
  <si>
    <t>Product customization has been recognized as an effective means to implement mass customization (MC). Aiming at the shortcomings of the current methods in information capturing and describing, the general requirement modeling method for product configuration in MC mode is proposed. The detailed definition of the general requirement concept is put forward from several angles, including the time dimension, space dimension, feature dimension, etc., and the requirement information cell (RIC) method which fits the description of the general requirement information for the MC domain is also presented. Then, the formalized expressive framework of the RIC is given and the general requirement hierarchical model and correlative model of MC based on RIC is discussed. According to the application result, the formalized describing method of general requirement for MC has effectively supported the reuse of domain knowledge in the requirement modeling process for product configuration, as well as improved the standardization and intelligence of requirement information expression. This method’s utility, flexibility, and reliability has been verified through its application to the development of practical products.</t>
  </si>
  <si>
    <t>Workflow Requirements Modelling Using XML</t>
  </si>
  <si>
    <t>Transforming Multidisciplinary Customer Requirements to Product Design Specifications</t>
  </si>
  <si>
    <t>With the increasing of complexity of complex mechatronic products, it is necessary to involve multidisciplinary design teams, thus, the traditional customer requirements modeling for a single discipline team becomes difficult to be applied in a multidisciplinary team and project since team members with various disciplinary backgrounds may have different interpretations of the customers’ requirements. A new synthesized multidisciplinary customer requirements modeling method is provided for obtaining and describing the common understanding of customer requirements (CRs) and more importantly transferring them into a detailed and accurate product design specifications (PDS) to interact with different team members effectively. A case study of designing a high speed train verifies the rationality and feasibility of the proposed multidisciplinary requirement modeling method for complex mechatronic product development. This proposed research offersthe instruction to realize the customer-driven personalized customization of complex mechatronic product.</t>
  </si>
  <si>
    <t>An Extended TASM-Based Requirements Modeling Approach for Real-Time Embedded Software: An Industrial Case Study</t>
  </si>
  <si>
    <t>Formal models of software requirements facilitate automated analysis and verification of the models, and software testing as well. A challenging problem in requirements modeling for real-time embedded software is to devise an easy-to-use formal requirements modeling language and a corresponding requirements modeling approach. Timed Abstract State Machine, abbreviated as TASM, is an easy-to-use formal requirements modeling language, but it has its limitations. We have extended TASM. In this paper, we propose an extended TASM-based requirements modeling approach for real-time embedded software to identify the parallel and hierarchical components, and describe the functional and non-functional requirements of the software. We apply the proposed approach to model requirements of actual real-time embedded software to validate its effectiveness. Our study highlights several lessons for modeling requirements of real-time embedded software in the extended TASM.</t>
  </si>
  <si>
    <t>A Security Requirements Modelling Language to Secure Cloud Computing Environments</t>
  </si>
  <si>
    <t>This paper presents a cloud-enhanced modelling language for capturing and describing cloud computing environments, enabling developers to model and reason about security issues in cloud systems from a security requirements engineering perspective. Our work builds upon concepts from the Secure Tropos methodology, where in this paper we introduce novel cloud computing concepts, relationships and properties in order to carry out analysis and produce cloud security requirements. We illustrate our concepts through a case study of a cloud-based career office system from the University of the Aegean. Finally we discuss how our cloud modelling language enriches cloud models with security concepts, guiding developers of cloud systems in understanding cloud vulnerabilities and mitigation strategies through semi-automated security analysis.</t>
  </si>
  <si>
    <t>Engaging Stakeholders with Agent-Oriented Requirements Modelling</t>
  </si>
  <si>
    <t>One advantage of using the agent paradigm for software engineering is that the concepts used for high-level modelling, such as roles, goals, organisations, and interactions, are accessible to many different stakeholders. Existing research demonstrates that including the stakeholders in the modelling of systems for as long as possible improves the quality of the development and final system because inconsistencies and incorrect behaviour are more likely to be detected early in the development process. In this paper, we propose three changes to the typical requirements engineering process found in AOSE methodologies, with the aim of including stakeholders over the requirements engineering process, effectively using stakeholders as modellers. These changes are: withholding design commitment, delaying the definition of the system boundary, and delaying the stakeholder “sign-off” of the requirements specification. We discuss our application of these changes to a project with an industry partner, and present anecdotal evidence to suggest that these changes can be effective in maintaining stakeholder involvement.</t>
  </si>
  <si>
    <t>Feature-oriented stigmergy-based collaborative requirements modeling: an exploratory approach for requirements elicitation and evolution based on web-enabled collective intelligence</t>
  </si>
  <si>
    <t>Compared with traditional software applications, the requirements problem of Internetware applications exhibits a set of new characteristics that cannot be resolved by traditional engineer-centered face-to-face requirements methods. In this paper, we present an exploratory approach to the requirements elicitation and evolution problem of Internetware applications, based on the concept of web-enable collective intelligence, to accommodate the situation of large-scale user communities of Internetware applications with diverse and constantly evolving requirements. In particular, we propose a feature-oriented stigmergy-based collaborative requirements modeling method that combines feature-oriented requirements modeling with web-enabled stigmergy-based collaboration to support large-scale collaborative requirements eliciting and evolving activities for Internetware applications. Two experiments are introduced to show the feasibility and effectiveness of this approach.</t>
  </si>
  <si>
    <t>Semantic Approach for Service Oriented Requirements Modeling</t>
  </si>
  <si>
    <t>Services computing is an interdisciplinary subject that devotes to bridging the gap between business services and IT services. It is recognized that Requirements Engineering is fundamental in implementing the service oriented architecture. It takes traditional RE techniques great efforts to model business requirements and search for the appropriate services. In this paper, we propose an ontological approach to facilitate the service-oriented modeling framework. The general idea is to establishing a common semantic language to describe both the business requirements and services capabilities based on their effects on the environment. After that, we used a case study to illustrate this method and showed that substantial efforts can be spared to construct a service model from business requirements.</t>
  </si>
  <si>
    <t>Critical Non-functional Requirements Modeling Profiler with Meta-Model Semantics</t>
  </si>
  <si>
    <t>The system is defined in multiple ways by various engineering and business domains which is an organized set of elements with capabilities that are integrated and interoperable. Every system has a scope and mission-criticality which is determined by user-stakeholder agreement based on both functional and non-functional requirements. The profiling and modeling of requirements are possible at structural levels by making use of Unified Modeling Language (UML). The proposed framework is organized by a meta-model and notation base for modeling critical non-functional requirements. There is a possibility of capabilities overlap and redundancy if the components to be developed are not unique causing an irregular and useless repository of components fulfilling requirements. The model transformations can be performed using a model transformation language that generates target model from source model with the help of transformation rules. The proposed framework focuses on theory of model generation with incorporation of notations to represent a set of critical non-functional requirements.</t>
  </si>
  <si>
    <t>Requirements Modeling with Agent Programming</t>
  </si>
  <si>
    <t>Agent-oriented conceptual modeling notations are highly effective in representing requirements from an intentional stance and answering questions such as what goals exist, how key actors depend on each other, and what alternatives must be considered. In this chapter, we review an approach to executing i* models by translating these into set of interacting agents implemented in the CASO language and suggest how we can perform reasoning with requirements modeled (both functional and non-functional) using i* models. In this chapter we particularly incorporate deliberation into the agent design. This allows us to benefit from the complementary representational capabilities of the two frameworks.</t>
  </si>
  <si>
    <t>Formal requirements modelling with executable use cases and coloured Petri nets</t>
  </si>
  <si>
    <t>This paper presents executable use cases (EUCs), which constitute a model-based approach to requirements engineering. EUCs may be used as a supplement to model-driven development (MDD) and can describe and link user-level requirements and more technical software specifications. In MDD, user-level requirements are not always explicitly described, since usually it is sufficient that one provides a specification, or platform-independent model, of the software that is to be developed. Therefore, a combination of EUCs and MDD may have potential to cover the path from user-level requirements via specifications to implementations of computer-based systems.</t>
  </si>
  <si>
    <t>Integration of Self-adaptation Approach on Requirements Modeling</t>
  </si>
  <si>
    <t>Self-adaptation approaches appear to respond to environmental complexity and uncertainty of today’s software systems. However, in order to prepare the system with the capability of self-adaptation requires a specific strategy, including when conducting stage requirements modeling. Activity of requirements modeling to be very decisive, when selecting and entering new elements to be added. Here we adopt a feedback loop as a strategy of self-adaptation, which is integrated into a goal-based approach as an approach to requirements. This paper discusses the integration of the two approaches, with the aim of obtaining a new model, which has the advantages of both.</t>
  </si>
  <si>
    <t>Reformulating Requirements Modelling for Digitalisation: A Structuration and Semiotic Informed Approach</t>
  </si>
  <si>
    <t>Articulated within this paper is a qualitative investigation into using structuration and semiotic theories that suggests improvements to communication when developing new software. Forming the analysis, an Information System (IS) designed using the Unified Modelling Language (UML) allied with the Agile software development process exposed a key factor: the need for effective communication. This factor caused a negative outcome when developing a new IS necessary to support the digitalisation of a business. Analysing the conditions and adjusting requirements modelling with structuration and semiotic theories, team members expressed with clarity requirements for their new IS as real-world effects and causes. Such cause and effect statements align to Peircean interpretant signs that facilitated effective communication.</t>
  </si>
  <si>
    <t>Comparing the Performance of GPT-3 with BERT for Decision Requirements Modeling</t>
  </si>
  <si>
    <t>Operational decisions such as loan or subsidy allocation are taken with high frequency and require a consistent decision quality which decision models can ensure. Decision models can be derived from textual descriptions describing both the decision logic and decision dependencies. Whilst decision models already help with modeling, implementing and automating decisions, the modelling step would still benefit from a (semi)-automated approach. The introduction of ChatGPT and GPT-3 offers opportunities to automatically discover decision dependencies from a given text. This paper evaluates the performance of two approaches that automatically extract decision dependencies from text, namely the best performing version of GPT-3 with a BERT-based approach. An evaluation with 36 experiments with a dataset of real-life cases and various levels of creativity allowed for GPT-3 concludes that theBERT BERT-based approach outperforms GPT-3 on the real-life dataset but that GPT-3 has promising results and requires further investigation.</t>
  </si>
  <si>
    <t>Towards a Computer-Aided Problem-Oriented Variability Requirements Engineering Method</t>
  </si>
  <si>
    <t>In theory, software product lines are planned in advance, using established engineering methods. However, there are cases where commonalities and variabilities between several systems are only discovered after they have been developed individually as single systems. In retrospect, this leads to the hindsight that these systems should have been developed as a software product line from the beginning to reduce costs and effort. To cope with the challenge of detecting variability early on, we propose the PREVISE method, covering domain and application engineering. Domain engineering is concerned with exploring the variability caused by entities in the environment of the software and the variability in functional and quality requirements. In application engineering, the configuration for a concrete product is selected, and subsequently, a requirement model for a concrete product is derived.</t>
  </si>
  <si>
    <t>A security requirements modelling language for cloud computing environments</t>
  </si>
  <si>
    <t>This paper presents a novel security modelling language and a set of original analysis techniques, for capturing and analysing security requirements for cloud computing environments. The novelty of the language lies in the integration of concepts from cloud computing, with concepts from security and goal-oriented requirements engineering to elicit, model and analyse security requirements for cloud infrastructures. We then propose three analysis techniques, which support an automated process where given a model of a cloud computing system, developed with the proposed language, will enhance the model with new security knowledge, for example threats and vulnerabilities, mitigation strategies and assets and actor responsibilities. This is, to the best of our knowledge, the first attempt in the literature to develop a language for cloud computing security modelling and analysis, based on such integration, and support it with a set of automated techniques that enhanced the stakeholder-created models with security knowledge. The proposed modelling language and techniques are illustrated through walking examples and a case study based on our work in the VisiOn European project.</t>
  </si>
  <si>
    <t>A goal-based framework for contextual requirements modeling and analysis</t>
  </si>
  <si>
    <t>Requirements engineering (RE) research often ignores or presumes a uniform nature of the context in which the system operates. This assumption is no longer valid in emerging computing paradigms, such as ambient, pervasive and ubiquitous computing, where it is essential to monitor and adapt to an inherently varying context. Besides influencing the software, context may influence stakeholders’ goals and their choices to meet them. In this paper, we propose a goal-oriented RE modeling and reasoning framework for systems operating in varying contexts. We introduce contextual goal models to relate goals and contexts; context analysis to refine contexts and identify ways to verify them; reasoning techniques to derive requirements reflecting the context and users priorities at runtime; and finally, design time reasoning techniques to derive requirements for a system to be developed at minimum cost and valid in all considered contexts. We illustrate and evaluate our approach through a case study about a museum-guide mobile information system.</t>
  </si>
  <si>
    <t>Model-driven system-level validation and verification on the space software domain</t>
  </si>
  <si>
    <t>The development process of on-board software applications can benefit from model-driven engineering techniques. Model validation and model transformations can be applied to drive the activities of specification, requirements definition, and system-level validation and verification according to the space software engineering standards ECSS-E-ST-40 and ECSS-Q-ST-80. This paper presents a model-driven approach to completing these activities by avoiding inconsistencies between the documents that support them and providing the ability to automatically generate the system-level validation tests that are run on the Ground Support Equipment and the matrices required to complete the software verification. A demonstrator of the approach has been built using as a proof of concept a subset of the functionality of the software of the control unit of the Energetic Particle Detector instrument on-board Solar Orbiter.</t>
  </si>
  <si>
    <t>Formal requirements modeling for cyber-physical systems engineering: an integrated solution based on FORM-L and Modelica</t>
  </si>
  <si>
    <t>The increasing complexity of cyber-physical systems (CPSs) makes their design, development and operation extremely challenging. Due to the nature of CPS that involves many heterogeneous components, which are often designed and developed by organizations belonging to different engineering domains, it is difficult to manage, trace and verify their properties, requirements and constraints throughout their lifecycle by using classical techniques. In this context, the paper presents an integrated solution to formally define system requirements and automate their verification through simulation. The solution is based on the FOrmal Requirements Modeling Language and the Modelica language. The solution is exemplified through two case studies concerning a Trailing-Edge High-Lift system and a Heating, Ventilation and Air Conditioning system.</t>
  </si>
  <si>
    <t>Requirement Uncertainty Analysis for Service-Oriented Self-Adaptation Software</t>
  </si>
  <si>
    <t>While a few techniques have been developed to support the modeling and analysis of requirements for self-adaptive systems, limited attention has been paid to the description of service requirements and uncertainty in requirements of SoSAS. In this paper, we discussed the characteristics of service-oriented self-adaptation software. A context snapshot model to represent uncertainty is introduced in requirements with domain knowledge; and the context requirements to model user requirements and service requirements; and finally, propose means-c-end analysis to relate user and service requirement with context condition. We design and develop a support tool ConUSER to realize the uncertainty oriented requirement analysis.</t>
  </si>
  <si>
    <t>Requirements Modeling with the Aspect-oriented User Requirements Notation (AoURN): A Case Study</t>
  </si>
  <si>
    <t>The User Requirements Notation (URN) is a recent ITU-T standard that supports requirements engineering activities. The Aspect-oriented URN (AoURN) adds aspect-oriented concepts to URN, creating a unified framework that allows for scenario-based, goal-oriented, and aspect-oriented modeling. AoURN is applied to the car crash crisis management system (CCCMS), modeling its functional and non-functional requirements (NFRs). AoURN generally models all use cases, NFRs, and stakeholders as individual concerns and provides general guidelines for concern identification. AoURN handles interactions between concerns, capturing their dependencies and conflicts as well as the resolutions. We present a qualitative comparison of aspect-oriented techniques for scenario-based and goal-oriented requirements engineering. An evaluation carried out based on the metrics adapted from literature and a task-based evaluation suggest that AoURN models are more scalable than URN models and exhibit better modularity, reusability, and maintainability.</t>
  </si>
  <si>
    <t>Agent based multiviews requirements model</t>
  </si>
  <si>
    <t>Based on the current researches of viewpoints oriented requirements engineering and intelligent agent, we present the concept of viewpoint agent and its abstract model based on a meta-language for multiviews requirements engineering. It provided a basis for consistency checking and integration of different viewpoint requirements, at the same time, these checking and integration works can automatically realized in virtue of intelligent agent’s autonomy, proactiveness and social ability. Finally, we introduce the practical application of the model by the case study of data flow diagram.</t>
  </si>
  <si>
    <t>RM4ML: requirements model for machine learning-enabled software systems</t>
  </si>
  <si>
    <t>Machine learning (ML)-enabled is one of the appealing characteristics of modern software systems, which usually contain ML components to make the system more intelligent for easier living. Requirements for ML-enabled software systems involve functional, quality, environmental, and data requirements. UML is a de facto approach for requirements analysis and system design, but its current modeling capabilities do not yet cover ML-enabled software systems to describe software quality requirements, environmental requirements, and data requirements. In this paper, we propose a requirements model for ML-enabled software systems and a modeling process for this model based on an extension of UML. In addition, we demonstrate the proposed model and modeling process through the case of the Tesla Autopilot system. The results show that the proposed model is expressive and usable and has a low learning curve when the software developers have basic knowledge of UML. Our proposed model can be further implemented and used in industrial settings.</t>
  </si>
  <si>
    <t>Towards a DOM-Based Requirements Models Analysis for Automotive Software</t>
  </si>
  <si>
    <t>Modeling software requirements is one of the grand challenges of Electronic Control Unit (ECU) development for vehicular applications. One of the main problems in this domain is: How to organize the large amount of complicated software requirements with a concise and manageable means. EAST-ADL2, as an architecture description language, dedicated to automotive electronic systems, is well-suitable for describing system structures. However, correctly modeling automotive software requirements using EAST-ADL2 is difficult. In this paper, we build a syntax analyzer for EAST-ADL2 domain models on top of an XML DOM tree. The tool takes the following advantages that: (1) it can effectively eliminate errors related with an EAST-ADL2 domain model; (2) it can be easily integrated in the EAST-ADL2 modeling environment; (3) it can interoperate with other tools developed using this approach.</t>
  </si>
  <si>
    <t>Modeling functional requirements using tacit knowledge: a design science research methodology informed approach</t>
  </si>
  <si>
    <t>The research in this paper adds to the discussion linked to the challenge of capturing and modeling tacit knowledge throughout software development projects. The issue emerged when modeling functional requirements during a project for a client. However, using the design science research methodology at a particular point in the project helped to create an artifact, a functional requirements modeling technique, that resolved the issue with tacit knowledge. Accordingly, this paper includes research based upon the stages of the design science research methodology to design and test the artifact in an observable situation, empirically grounding the research undertaken. An integral component of the design science research methodology, the knowledge base, assimilated structuration and semiotic theories so that other researchers can test the validity of the artifact created. First, structuration theory helped to identify how tacit knowledge is communicated and can be understood when modeling functional requirements for new software. Second, structuration theory prescribed the application of semiotics which facilitated the development of the artifact. Additionally, following the stages of the design science research methodology and associated tasks allows the research to be reproduced in other software development contexts. As a positive outcome, using the functional requirements modeling technique created, specifically for obtaining tacit knowledge on the software development project, indicates that using such knowledge increases the likelihood of deploying software successfully.</t>
  </si>
  <si>
    <t>A Metamodeling Approach for Reasoning about Requirements</t>
  </si>
  <si>
    <t>In requirements engineering, there are several approaches for requirements modeling such as goal-oriented, aspect-driven, and system requirements modeling. In practice, companies often customize a given approach to their specific needs. Thus, we seek a solution that allows customization in a systematic way. In this paper, we propose a metamodel for requirements models (called coremetamodel) and an approach for customizing this metamodel in order to support various requirements modeling approaches. The core metamodel represents the common concepts extracted from some prevalent approaches. We define the semantics of the concepts and the relations in the core metamodel. Based on this formalization, we can perform reasoning on requirements that may detect implicit relations and inconsistencies. Our approach for customization keeps the semantics of the core concepts intact and thus allows reuse of tools and reasoning over the customized metamodel. We illustrate the customization of our core metamodel with SysML concepts. As a case study, we apply the reasoning on requirements of an industrial mobile service application based on this customized core requirements metamodel.</t>
  </si>
  <si>
    <t>Requirements model driven adaption and evolution of Internetware</t>
  </si>
  <si>
    <t>Today’s software systems need to support complex business operations and processes. The development of the web-based software systems has been pushing up the limits of traditional software engineering methodologies and technologies as they are required to be used and updated almost real-time, so that users can interact and share the same applications over the internet as needed. These applications have to adapt quickly to the diversified and dynamic changing requirements in the physical, technological, economical and social environments. As a consequence, we are expecting a major paradigm shift in software engineering to reflect such changes in computing environment in order to better address the fundamental needs of organisations in this new era. Existing software technologies, such as model driven development, business process engineering, online (re-)configuration, composition and adaptation of managerial functionalities are being repurposed to reduce the time taken for software development by reusing software codes. The ability to dynamically combine contents from numerous web sites and local resources, and the ability to instantly publish services worldwide have opened up entirely new possibilities for software development. In retrospect to the ten years applied research on Internetware, we have witnessed such a paradigm shift, which brings about many changes to the developmental experience of conventional web applications. Several related technologies, such as cloud computing, service computing, cyber-physical systems and social computing, have converged to address this emerging issue with emphasis on different aspects. In this paper, we first outline the requirements that the Internetware software paradigm should meet to excel at web application adaptation; we then propose a requirement model driven method for adaptive and evolutionary applications; and we report our experiences and case studies of applying it to an enterprise information system. Our goal is to provide high-level guidelines to researchers and practitioners to meet the challenges of building adaptive industrial-strength applications with the spectrum of processes, techniques and facilities provided within the Internetware paradigm.</t>
  </si>
  <si>
    <t>A semantic web enabled approach to reuse functional requirements models in web engineering</t>
  </si>
  <si>
    <t>Web engineering has emerged as a new software discipline to specifically address the challenges and complexities of developing high quality web applications. A main theme in different web engineering methodologies is to employ model driven development approaches. This increases the level of abstraction and formalism to the extent that machines can better involve in the development process and provide more automation, e.g. automatic code generation from the models. Despite their benefits, a main problem of these model-driven methodologies is that developing each new web application implies creating a probably large number of models from scratch. Hence, model reuse can be considered as the main solution to this problem. In this paper, a semantic web enabled approach is proposed for reusing models, specifically functional requirements models. It takes the brief description of the functional requirements of a new web application in terms of UML use case diagram, and semi-automatically generates the draft of the corresponding detailed description in terms of a set of UML activity diagrams. This is performed by utilizing a repository which contains semantic representation of the models of the previous web applications. The proposed approach is based on novel algorithms for annotating activity diagrams, measuring similarity of use cases, and adapting activity diagrams. The experimental evaluations demonstrate that the proposed approach is promising, and it has good precision and effectiveness.</t>
  </si>
  <si>
    <t>On Requirements Model Driven Adaption and Evolution of Internetware</t>
  </si>
  <si>
    <t>Today’s software systems need to support complex business operations and processes. The development of the web-based software systems has been pushing up the limits of traditional software engineering methodologies and technologies as they are required to be used and updated almost real-time, so that users can interact and share the same applications over the internet as needed. As a consequence, we are expecting a major paradigm shift in software engineering to reflect such changes in computing environment in order to better address the fundamental needs of organisations in this new era. Existing software technologies, such as model driven development, business process engineering, online (re-) configuration, composition and adaptation of managerial functionalities are being “repurposed” to reduce the time taken for software development by reusing software codes. In retrospect to the ten years applied research on Internetware, we have witnessed such a paradigm shift, which brings about many changes to the developmental experience of conventional web applications. Several related technologies, such as cloud computing, service computing, cyber-physical systems and social computing, have converged to address this emerging issue with emphasis on different aspects. In this chapter, we first outline the requirements that the Internetware software paradigm should meet to excel at web application adaptation; we then propose a requirement model driven method for adaptive and evolutionary applications; and we report our experiences and case studies of applying it to an enterprise information system. Our goal is to provide high-level guidelines to researchers and practitioners to meet the challenges of building adaptive industrial-strength applications with a spectrum of processes, techniques and facilities provided within the Internetware paradigm.</t>
  </si>
  <si>
    <t>Deriving software architectural models from requirements models for adaptive systems: the STREAM-A approach</t>
  </si>
  <si>
    <t>Some quality attributes are known to have an impact on the overall architecture of a system, so that they are required to be properly handled from the early beginning of the software development. For example, adaptability is a key concern for autonomic and adaptive systems, which brings to them the capability to alter their behavior in response to changes on their surrounding environments. In this paper, we propose a Strategy for Transition between Requirements and Architectural Models for Adaptive systems (STREAM-A). In particular, we use goal models based on the i* (i-Star) framework to support the design and evolution of systems that require adaptability. To obtain software architectures for such systems, the STREAM-A approach uses model transformations from i* models to architectural models expressed in Acme. Both the requirements and the architectural model are refined to accomplish the adaptability requirement.</t>
  </si>
  <si>
    <t>Requirements model generation to support requirements elicitation: the Secure Tropos experience</t>
  </si>
  <si>
    <t>In recent years several efforts have been devoted by researchers in the Requirements Engineering community to the development of methodologies for supporting designers during requirements elicitation, modeling, and analysis. However, these methodologies often lack tool support to facilitate their application in practice and encourage companies to adopt them.</t>
  </si>
  <si>
    <t>Requirements Engineering for Computational Seismology Software</t>
  </si>
  <si>
    <t>Many seismological software applications are developed to support for instance studies of earthquake scenarios, seismic exploration surveys or hazard analysis. Most of these applications were developed in isolation with focus on algorithmic performance, and less emphasized on software’s comprehensibility and maintainability. However, requirements engineering practices, which help to describe the applications from a high level point of view, are mostly ignored. As a result, trying to reuse these algorithms in larger systems, developers face difficulties in comprehending, modifying, adapting and integrating the applications. This paper presents our work of introducing the concepts of requirements engineering to seismological research projects. Requirements describe what a software system is expected to do and to be. They are used to communicate between scientists from different domains (e.g. seismology and computer science) to achieve a common understanding for developing the software. Requirements also provide a basis for other development activities, such as software comprehension, software design, implementation and maintenance. We present a model-based requirements engineering approach that incorporates abstractions and notations from the seismology domain. We describe two requirements patterns, which facilitate the identification and specification of requirements in seismological software development. We use a dynamic rupture example to illustrate how seismologists can apply our approach.</t>
  </si>
  <si>
    <t>Towards a Conceptual Framework for Requirements Interoperability in Complex Systems Engineering</t>
  </si>
  <si>
    <t>Requirements Engineering (RE) is an important activity in system engineering and produces, from the users&amp;#8217; needs, specifications related to what the final system must be. This process in complex systems engineering is extremely intense, because there is a large...</t>
  </si>
  <si>
    <t>Guiding requirements engineering for software-intensive embedded systems in the automotive industry</t>
  </si>
  <si>
    <t>Over the past decade, a dramatic increase of functionality, quantity, size, and complexity of software-intensive embedded systems in the automotive industry can be observed. In particular, the growing complexity drives current requirements engineering practices to the limits. In close cooperation between partners from industry and academia, the recently completed REMsES (Requirements Engineering and Management for software-intensive Embedded Systems) project has developed a guideline to support requirements engineering processes in the automotive industry. The guideline enables the requirements engineers to cope with the challenges that arise due to quantity, size and complexity of software-intensive systems. This article presents the major results of the project, namely, the fundamental principles of the approach, the guideline itself, the tool support, and the major findings obtained during the evaluation of the approach.</t>
  </si>
  <si>
    <t>Requirements Engineering Process Improvement: An Industrial Case Study</t>
  </si>
  <si>
    <t>[Context and motivation] This paper reports the results and lessons learned of a requirements engineering improvement project conducted in a Siemens business unit. [Question/problem] In particular, the project addressed the following major problems: (i) communication gap between marketing and development, resulting in misbalance between technology-driven and market-driven requirements; (ii) limited value of monolithic requirements specifications, resulting in inconsistencies across product versions; (iii) requirements overloading, resulting in cumbersome and time consuming descoping; (iv) insufficient traceability, resulting in poor or missing impact analysis, regression testing and other traceability errors; (v) intransparent mapping between a non-hierarchical topology of problem space artifacts to hierarchically structured solution space artifacts; (vi) missing support for platform variant management and reuse, resulting in long release cycles; (vii) waterfall process, resulting in inability to effectively handle change in requirements or design. [Principal ideas/results] The paper describes the situation at the business unit before the process improvement project, gives a short overview on how the project was implemented and the techniques applied to solve the various problems the organization was facing. The paper wraps up with a comparison between the initial and the final state of the requirements engineering process in the organization and finally, a lessons learned section discusses some of the highlights and pitfalls encountered during the project. [Contribution] The paper can be used as an initial point of reference to other practitioners and organizations facing similar problems and/or involved in similar improvement projects.</t>
  </si>
  <si>
    <t>Testing agile requirements models</t>
  </si>
  <si>
    <t>This paper discusses a model-based approach to validate software requirements in agile development processes by simulation and in particular automated testing. The use of models as central development artifact needs to be added to the portfolio of software engineering techniques, to further increase efficiency and flexibility of the development beginning already early in the requirements definition phase. Testing requirements are some of the most important techniques to give feedback and to increase the quality of the result. Therefore testing of artifacts should be introduced as early as possible, even in the requirements definition phase.</t>
  </si>
  <si>
    <t>Mind Maps in Requirements Engineering: A Systematic Mapping</t>
  </si>
  <si>
    <t>Many of the mistakes that can be found in software products have their origin in the requirements definition and preliminary design stages; likewise, the correction of these demands a greater effort than those generated in the following stages. The lack of effective and transparent communication between those involved in the process (users, experts in the business domain, analysts, developers, etc.) is one of the main causes for the introduction of these errors, which is why a well-defined method and information exchange are necessary. In this way, a validation and early correction of the requirements could be done with the help of those involved, so that the functionalities implemented can be verified in later instance. Through the process of systematic mapping of the literature, fifteen research studies that consider the use of mind maps as facilitators in the exchange of communications of ideas developed in the requirements engineering processes were selected. Concluding that, the inclusion of the development of mental maps is evidenced more frequently in the processes of elicitation, analysis and validation of the requirements, this as a result of the activities developed in these processes involve a constant interaction and communication between expert users of the business domain and the analysts.</t>
  </si>
  <si>
    <t>E-Commerce and Its Real-Time Requirements: Modeling E-Commerce as a Real-Time System</t>
  </si>
  <si>
    <t>E-commerce is a product of the Internet, often known as the fourth information revolution (following writing in Mesopotamia 5000 years ago, the written book in China 3300 years ago, and Gutenberg’s printing in 1455). The keynote will address the e-commerce revolution and its requirements. Instead of the traditional bipartite business supply chains linking suppliers, customers, and intermediaries, e-supply chains connect suppliers, consumers, and intermediaries alike directly to an on-line market place using the Internet, forming a “star” Internet/Web-centric commerce system. This effectively shifts the balance of power from vendors to consumers, making the need for responsive and adaptive just-in-time business models more critical. This paper will discuss the technical requirements of e-commerce, such as interoperability, reliability, accessibility, timeliness, and security. In particular, the presentation will show how e-commerce can often be modeled by a real-time system and hence solutions to these requirements can be more readily formulated.</t>
  </si>
  <si>
    <t>Framework for Decisional Business Modeling and Requirements Modeling in Data Mining Projects</t>
  </si>
  <si>
    <t>This article presents a framework oriented to guide the methodological construction of the decision-making process model of an organization, and the subsequent derivation of a requirements model for the development of Data Mining projects. The decisional model, is defined as a conceptual tool made up of a set of related concepts which represent the decision-making processes of an organization. The importance of a decision-making model is that with a clear definition of the requirements which arise from the organization’s goals and which generate the decisional processes; the development is permitted of a Data Mining project which is effectively aligned with the achievement of the organization strategic goals.</t>
  </si>
  <si>
    <t>The Eclipse Requirements Modeling Framework</t>
  </si>
  <si>
    <t>This chapter is concerned with the Requirements Modeling Framework (RMF) (http://eclipse.org/rmf), an Eclipse-based open-source platform for requirements engineering. The core of RMF is based on the emerging Requirements Interchange Format (ReqIF), which is an OMG standard [1]. The project uses ReqIF as the central data model. At the time of this writing, RMF was the only open-source implementation of the ReqIF data model.</t>
  </si>
  <si>
    <t>Understanding the GDPR from a requirements engineering perspective—a systematic mapping study on regulatory data protection requirements</t>
  </si>
  <si>
    <t>Data protection compliance is critical from a requirements engineering (RE) perspective, both from a software development lifecycle (SDLC) perspective and regulatory compliance. Not including these requirements from the early phases of the SDLC can prove costly and challenging afterward. The general data protection regulation (GDPR) from the European Union (EU) sets a list of requirements that organizations working within its scope should satisfy. However, these requirements are complex to work with, as legal prose tends to be vague and imprecise, and not all requirements have received the same attention from researchers. This study aims to identify the research published in RE for helping compliance with regulatory data protection requirements. We gathered and analyzed 90 articles from 2016 to 2022 through a systematic mapping study. We analyzed key trends in the sample, such as year of publication, publication venue, type of research, interdisciplinarity in the author’s background, GDPR focus of compliance element, and type of proposal. Our main findings show ongoing interest, mostly published in conferences, in achieving overall compliance with the GDPR and consent as the most popular topics. Other topics, such as cookies or children’s data, did not receive significant attention. Research over the whole RE process has been done. 20 (22%) of the papers have authors affiliated with non-computer science; however, most research seems not interdisciplinary. We finally discuss gaps in the literature, possible future areas of research, and the importance of interdisciplinary research for regulatory data protection requirements in RE.</t>
  </si>
  <si>
    <t>A UML Profile Oriented to the Requirements Modeling in Intelligent Tutoring Systems Projects</t>
  </si>
  <si>
    <t>This paper describes a proposal for the creation of a UML profile oriented to the intelligent tutoring systems project. In this paper we shall describe the proposed profile as well as its application into the modeling of the AMEA intelligent tutoring system.</t>
  </si>
  <si>
    <t>Extending Problem-Oriented Requirements Engineering for SPL</t>
  </si>
  <si>
    <t>In the QuaDRA framework, we have provided support for developing a single system. In this chapter, we show how to enhance the problem-oriented requirements engineering for supporting a product line development. We extend the problem frames approach with a notation for modeling variability by providing a UML profile. Furthermore, we propose the structured PREVISE method, which conducts requirements engineering in software product lines taking into account quality requirements. Our method covers domain engineering as well as application engineering.</t>
  </si>
  <si>
    <t>Exploiting augmented intelligence in the modeling of safety-critical autonomous systems</t>
  </si>
  <si>
    <t>Machine learning (ML) is used increasingly in safety-criticalsystems to provide more complex autonomy to make the system to dodecisions by itself in uncertain environments. Using ML to learnsystem features is fundamentally different from manuallyimplementing them in conventional components written in source code.In this paper, we make a first step towards exploringthe architecture modeling of safety-critical autonomous systemswhich are composed of conventional components and ML components,based on natural language requirements. Firstly, augmentedintelligence for restricted natural language requirementmodeling is proposed. In that, several AI technologies such asnatural language processing and clustering are used to recommendcandidate terms to the glossary, as well as machine learning is usedto predict the category of requirements. The glossary including datadictionary and domain glossary and the category of requirements willbe used in the restricted natural language requirement specificationmethod RNLReq, which is equipped with a set of restriction rules andtemplates to structure and restrict the way how users documentrequirements. Secondly, automatic generation of SysML architecturemodels from the RNLReq requirement specifications is presented.Thirdly, the prototype tool is implemented based on Papyrus.Finally,  it presents the evaluation of the proposedapproach using an industrial autonomous guidance, navigation andcontrol case study.</t>
  </si>
  <si>
    <t>Advancing viewpoint merging in requirements engineering: a theoretical replication and explanatory study</t>
  </si>
  <si>
    <t>Compared to building a single requirements view, modeling stakeholder viewpoints and then merging them is shown to improve the understanding of the problem domain, but also very time-consuming. How has the situation changed? This paper reports our replication of a case study, where we take advantage of theoretical replication to mitigate one of the original study design’s threats and to embrace an important evolving factor, namely automated tool support for producing $$i*$$models. Our replicate study updates the prior results by showing the time saving enabled by the tool and verifies the rich domain understanding gained through viewpoint-based modeling. In an attempt to explain why viewpoints lead to richer domain understanding, we examine in a posteriori way the role that traceability plays in building individual and team-wide requirements models. Our post hoc analysis results suggest that better traceability from the sources makes team-level requirements modeling more focused, whereas the lack of traceability makes it less fruitful. Our work not only shifts the case study from an exploratory to an explanatory nature, but also proposes the integration of conflict-centric views into viewpoint merging to further improve the understanding about stakeholder requirements’ trade-offs.</t>
  </si>
  <si>
    <t>The impact of requirements on systems development speed: a multiple-case study in automotive</t>
  </si>
  <si>
    <t>Automotive manufacturers have historically adopted rigid requirements engineering processes. This allowed them to meet safety-critical requirements when producing a highly complex and differentiated product out of the integration of thousands of physical and software components. Nowadays, few software-related domains are as rapidly changing as the automotive industry. In particular, the needs of improving development speed are increasingly pushing companies in this domain toward new ways of developing software. In this paper, we investigate how the goal to increase development speed impacts how requirements are managed in the automotive domain. We start from a manager perspective, which we then complement with a more general perspective. We used a qualitative multiple-case study, organized in two steps. In the first step, we had 20 semi-structured interviews, at two automotive manufacturers. Our sampling strategy focuses on manager roles, complemented with technical specialists. In the second step, we validated our results with 12 more interviews, covering nine additional respondents and three recurring from the first step. In addition to validating our qualitative model, the second step of interviews broadens our perspective with technical experts and change managers. Our respondents indicate and rank six aspects of the current requirements engineering approach that impact development speed. These aspects include the negative impact of a requirements style dominated by safety concerns as well as decomposition of requirements over many levels of abstraction. Furthermore, the use of requirements as part of legal contracts with suppliers is seen as hindering fast collaboration. Six additional suggestions for potential improvements include domain-specific tooling, model-based requirements, test automation, and a combination of lightweight upfront requirements engineering preceding development with precise specifications post-development. Out of these 12 aspects, seven can likely be addressed as part of an ongoing agile transformation. We offer an empirical account of expectations and needs for new requirements engineering approaches in the automotive domain, necessary to coordinate hundreds of collaborating organizations developing software-intensive and potentially safety-critical systems.</t>
  </si>
  <si>
    <t>Industry needs and research directions in requirements engineering for embedded systems</t>
  </si>
  <si>
    <t>The industry has a strong demand for sophisticated requirements engineering (RE) methods in order to manage the high complexity of requirements specifications for software-intensive embedded systems and ensure a high requirements quality. RE methods and techniques proposed by research are only slowly adopted by the industry. An important step to improve the adoption of novel RE approaches is to gain a detailed understanding of the needs, expectations, and constraints that RE approaches must satisfy. We have conducted an industrial study to gain an in-depth understanding of practitioners’ needs concerning RE research and method development. The study involved qualitative interviews as well as quantitative data collection by means of questionnaires. We report on the main results of our study related to five aspects of RE approaches: the use of requirements models, the support for high system complexity, quality assurance for requirements, the transition between RE and architecture design, and the interrelation of RE and safety engineering. Based on the results of the study, we draw conclusions for future RE research.</t>
  </si>
  <si>
    <t>Revisiting requirement engineering for intelligent manufacturing</t>
  </si>
  <si>
    <t>The upcoming challenge for innovation in intelligent manufacturing design introduced a demand for agility and flexibility, adapting production plants and processes to emerging needs and new services. Arrangements of service-oriented cyber-physical components should replace computer-integrated plants, matching anthropocentric production lines. Manufacturing should follow a process-oriented requirements cycle, linking different design phases based on traceability, associating problem, solution, and collaboration with external and human agents. The first problem is how to provide a requirement cycle that fits this demand, using a systemic and process-oriented (formal) method. This article proposes a model-based requirements cycle for intelligent manufacturing systems (IMfgS). The proposal covers a functional, object-oriented approach and introduces a goal-oriented method suitable for service design. Process orientation leads to Petri Nets’ schema, already used in plant design manufacturing. The Petri Net formal approach synthesizes requirements and describes solutions, opening a possibility to trace problems and solutions. A case study from the chemical industry illustrates that. A requirements life-cycle formalized in Petri Nets includes transference algorithms from either UML or KAOS diagrams. The approach can be adapted to service-oriented manufacturing, but that is not developed formally in this work. The requirements cycle has been adjusted to available tools, making the proposal practical. Intelligent manufacturing is getting more attention, either because of demands for sustainable manufacturing processes or the digitalization process and industry 4.0. New design processes demand more flexibility and capacity to reuse and modify functions while also modifying the product/services they produce. New approaches recover methods typically used in Software Engineering. However, such processes also bring complexity and the need for intensive, interactive testing, even during the requirements phase.</t>
  </si>
  <si>
    <t>Introducing Requirements-Driven Modelling</t>
  </si>
  <si>
    <t>Requirements play a pivotal role in software development because they express the needs of the customer. A quality software system can emerge only when the real needs of the client are discovered. However, this is not enough. A typical software development project faces the problem of translating the user needs into a working system. These problems are dealt with by hundreds of books on various aspects of software design and pertaining to the plethora of software development technologies we can choose from. Related activities produce important artefacts that are treated as primary in software development: design models and code. Software design and coding directly contributes to the final system, and thus their results are treated as first-class citizens in the world of software development.</t>
  </si>
  <si>
    <t>Empirical research in requirements engineering: trends and opportunities</t>
  </si>
  <si>
    <t>Requirements engineering (RE) being a foundation of software development has gained a great recognition in the recent era of prevailing software industry. A number of journals and conferences have published a great amount of RE research in terms of various tools, techniques, methods, and frameworks, with a variety of processes applicable in different software development domains. The plethora of empirical RE research needs to be synthesized to identify trends and future research directions. To represent a state-of-the-art of requirements engineering, along with various trends and opportunities of empirical RE research, we conducted a systematic mapping study to synthesize the empirical work done in RE. We used four major databases IEEE, ScienceDirect, SpringerLink and ACM and Identified 270 primary studies till the year 2012. An analysis of the data extracted from primary studies shows that the empirical research work in RE is on the increase since the year 2000. The requirements elicitation with 22 % of the total studies, requirements analysis with 19 % and RE process with 17 % are the major focus areas of empirical RE research. Non-functional requirements were found to be the most researched emerging area. The empirical work in the sub-area of requirements validation and verification is little and has a decreasing trend. The majority of the studies (50 %) used a case study research method followed by experiments (28 %), whereas the experience reports are few (6 %). A common trend in almost all RE sub-areas is about proposing new interventions. The leading intervention types are guidelines, techniques and processes. The interest in RE empirical research is on the rise as whole. However, requirements validation and verification area, despite its recognized importance, lacks empirical research at present. Furthermore, requirements evolution and privacy requirements also have little empirical research. These RE sub-areas need the attention of researchers for more empirical research. At present, the focus of empirical RE research is more about proposing new interventions. In future, there is a need to replicate existing studies as well to evaluate the RE interventions in more real contexts and scenarios. The practitioners’ involvement in RE empirical research needs to be increased so that they share their experiences of using different RE interventions and also inform us about the current requirements-related challenges and issues that they face in their work.</t>
  </si>
  <si>
    <t>Proposal for Requirements Driven Design Science Research</t>
  </si>
  <si>
    <t>Design Science Research (DSR) still reveals several methodical shortcomings, which need to be remedied in order to enhance the maturity of DSR and its derived artifacts. For instance, there is a remarkable lack in methodical support for problem formulation. Also, DSR does not provide detailed procedure models, which can be operationalized appropriately. This compromises rigor within the design process and hampers demarcation from professional practice. In order to tackle these issues, we propose the adaptation of Requirements Engineering for structuring the problem space and deriving design decisions systematically. Requirements are also intended to work as glue between single design stages in order to keep the design process comprehensible and transparent. We therefore justify an ontology-based analogy between requirements analysis and DSR parts and provide a requirements-driven DSR framework based on a four-part ontology that especially focuses problem analysis and design preparation. Moreover, a detailed state of the art is presented and our approach is discussed within a critical appraisal.</t>
  </si>
  <si>
    <t>Requirements Engineering for Data Warehousing</t>
  </si>
  <si>
    <t>This chapter discusses the manner in which data warehouses are developed and the major issues in development of these systems. We start by providing a brief introduction to data warehousing concepts and the main problems of data warehouse projects. Thereafter, the systems development life cycle of data warehouse development, and the different ways in which development proceeds including the recently developed agile approaches are considered in this chapter. Finally, we focus on the requirements stage of the development life cycle and discuss the different techniques used for requirements engineering in detail.</t>
  </si>
  <si>
    <t>Requirements-driven incremental adoption of variability management techniques and tools: an industrial experience report</t>
  </si>
  <si>
    <t>In theory, software product line engineering has reached a mature state. In practice though, implementing a variability management approach remains a tough case-by-case challenge for any organization. To tame the complexity of this undertaking, it is inevitable to handle variability from multiple perspectives and to manage variability consistently across artifacts, tools, and workflows. Especially, a solid understanding and management of the requirements to be met by the products is an inevitable prerequisite. In this article, we share experiences from the ongoing incremental adoption of explicit variability management at TRW Automotive’s department for automotive slip control systems—located in Koblenz, Germany. On the technical side, the three key drivers of this adoption effort are (a) domain modeling and scoping, (b) handling of variability in requirements and (c) tighter integration of software engineering focus areas (e.g., domain modeling, requirements engineering, architectural modeling) to make use of variability-related data. In addition to implementation challenges with using and integrating concrete third-party tools, social and workflow-related issues are covered as well. The lessons learned are presented, discussed, and thoroughly compared with the state of the art in research.</t>
  </si>
  <si>
    <t>Introduction to Requirements Modeling Languages</t>
  </si>
  <si>
    <t>Requirements modeling languages are formal languages specialized for use in requirements problem solving. This chapter clarifies what a formal language is normally made of, and explains its role in problem solving in general. To give a clearer idea of where requirements modeling languages come from and look like, this chapter gives a rough historical overview of their design, discusses their broad similarities and differences, and presents two requirements modeling languagesRequirements modeling languagecalled i-starI-starand TechneTechne.</t>
  </si>
  <si>
    <t>Quality of life diagnosis and therapy as complex intervention for improvement of health in breast cancer patients: delineating the conceptual, methodological, and logistic requirements (modeling)</t>
  </si>
  <si>
    <t>A system for quality of life (QoL) diagnosis and therapy in breast cancer patients was developed according to the Medical Research Council (MRC) framework of complex interventions. Along MRC’s five phases in the continuum of evidence, the present paper deals with phase I: modeling (i.e., delineating the conceptual, methodological, and logistic requirements).</t>
  </si>
  <si>
    <t>Features of Integrated Model-Based Co-modelling and Co-simulation Technology</t>
  </si>
  <si>
    <t>Given the considerable ongoing research interest in collaborative multidisciplinary modelling and co-simulation, it is worth considering the features of model-based techniques and tools that deliver benefits to cyber-physical systems developers. The European project “Integrated Tool Chain for Model-based Design of Cyber-Physical Systems” (INTO-CPS) has developed a well-founded tool chain for CPS design, based on the Functional Mock-up Interface standard, and supported by methodological guidance. The focus of the project has been on the delivery of a sound foundation, an open chain of compatible and usable tools, and a set of accessible guidelines that help users adapt the technology to their development needs.</t>
  </si>
  <si>
    <t>On the Impact of the Model-Based Representation of Inconsistencies to Manual Reviews</t>
  </si>
  <si>
    <t>To ensure fulfilling stakeholder wishes, it is crucial to validate the documented requirements. This is often complicated by the fact that the wishes and intentions of different stakeholders are somewhat contradictory, which manifests itself in inconsistent requirements. To aid requirements engineers in identifying and resolving inconsistent requirements, we investigated the usefulness for manual reviews of two different model-based representation formats for inconsistent requirements; one that represent the inconsistent requirements in separate diagrams and one that represents them integrated into one diagram using annotations. The results from a controlled experiment show that the use of such integrated review diagrams can significantly increase efficiency of manual reviews, without sacrificing effectiveness.</t>
  </si>
  <si>
    <t>An XML Document Warehouse Model</t>
  </si>
  <si>
    <t>EXtensible Markup Language (XML) has rapidly gained importance as a mechanism for the exchange of information amongst heterogeneous sources over the web. In order to deal with the challenging task of managing the large volumes of data appearing, encoded in XML transactional databases, the need to explore the XML Document Warehouse (XDW) approach is initiated. The applications of the Requirement Engineering (RE) process and Object-Oriented conceptual models have proven their usefulness in building successful software models and solutions. In this paper we introduce an integration methodology for the development of XDWs. Initially we provide a formal notation of the structural design for the XDW conceptual model. Secondly we focus on deriving requirements for the XDWs by exploring the Goal-Question Metric (GQM) approach. We adapt and extend this concept to XDWs and introduce a method for developing warehouse requirements considering user viewpoints and organizational objectives. The implementation of our proposed warehouse requirement derivation model is demonstrated using a case study example extracted from a simplified real-world scenario.</t>
  </si>
  <si>
    <t>Empirical Assessment of Security Requirements and Architecture: Lessons Learned</t>
  </si>
  <si>
    <t>Over the past three years, our groups at the University of Leuven and the University of Trento have been conducting a number of experimental studies. In particular, two common themes can be easily identified within our work. First, we have investigated the value of several threat modeling and risk assessment techniques. The second theme relates to the problem of preserving security over time, i.e., security evolution. Although the empirical results obtained in our studies are interesting on their own, the main goal of this chapter is to share our experience. The objective is to provide useful, hands-on insight on this type of research work so that the work of other researchers in the community would be facilitated. The contribution of this chapter is the discussion of the challenges we faced during our experimental work. Contextually, we also outline those solutions that worked out in our studies and could be reused in the field by other studies.</t>
  </si>
  <si>
    <t>Case Study</t>
  </si>
  <si>
    <t>So far, we have provided the reader with many technical details on how to achieve fast generation of code from precise requirements models. However, can we claim that such transformations can be done “in a snap” as we promise in the title of the book? In this chapter, we want to demonstrate that this is possible, and a reasonable working application prototype can be obtained quickly after formulating requirements in RSL. For this purpose, we will present an end-to-end case study example.</t>
  </si>
  <si>
    <t>From Requirements to Validated Embedded Systems</t>
  </si>
  <si>
    <t>We outline a practical modular method for the development of embedded systems from requirements and its comprehensive support by a CASE tool. Our focal point is on model-oriented development, multiview modelling, and validation. We present a method with a comprehensive tool support to develop models systematically from requirements and discuss various validation techniques by means of a car seat example. The resulting method is industrial strength, but nevertheless based on a solid scientific foundation and mathematical theory.</t>
  </si>
  <si>
    <t>Merging the Quality Assessment of Processes and Products in Automotive Domain</t>
  </si>
  <si>
    <t>It is commonly accepted that the quality of a product depends on quality of a process. So, many industrial companies have put effort to improve their software processes, which are mainly based on CMMI or SPICE in automotive industry. However, these processes do not pay attention to safety-related dedicated issues. We propose in this paper an instrument that allows performing a SPICE assessment as well as a safety assessment regarding the ISO 26262 recommendations. The major benefit of our proposal is that it allows focusing on assessing software by both development process quality and product quality approaches.</t>
  </si>
  <si>
    <t>Cyber-Physical Systems: Imminent Challenges</t>
  </si>
  <si>
    <t>A German project is presented which was initiated in order to analyse the potential and risks associated with Cyber-Physical Systems. These have been recognised as the next wave of innovation in information and communication technology. Cyber-Physical Systems are herein understood in a very broad sense as the integration of embedded systems with global networks such as the Internet. The survey aims at deepening understanding the impact of those systems at technological and economical level as well as at political and sociological level. The goal of the study is to collect arguments for decision makers both in business and politics to take actions in research, legislation and business development.</t>
  </si>
  <si>
    <t>Deep learning-based software engineering: progress, challenges, and opportunities</t>
  </si>
  <si>
    <t>Researchers have recently achieved significant advances in deep learning techniques, which in turn has substantially advanced other research disciplines, such as natural language processing, image processing, speech recognition, and software engineering. Various deep learning techniques have been successfully employed to facilitate software engineering tasks, including code generation, software refactoring, and fault localization. Many studies have also been presented in top conferences and journals, demonstrating the applications of deep learning techniques in resolving various software engineering tasks. However, although several surveys have provided overall pictures of the application of deep learning techniques in software engineering, they focus more on learning techniques, that is, what kind of deep learning techniques are employed and how deep models are trained or fine-tuned for software engineering tasks. We still lack surveys explaining the advances of subareas in software engineering driven by deep learning techniques, as well as challenges and opportunities in each subarea. To this end, in this study, we present the first task-oriented survey on deep learning-based software engineering. It covers twelve major software engineering subareas significantly impacted by deep learning techniques. Such subareas spread out through the whole lifecycle of software development and maintenance, including requirements engineering, software development, testing, maintenance, and developer collaboration. As we believe that deep learning may provide an opportunity to revolutionize the whole discipline of software engineering, providing one survey covering as many subareas as possible in software engineering can help future research push forward the frontier of deep learning-based software engineering more systematically. For each of the selected subareas, we highlight the major advances achieved by applying deep learning techniques with pointers to the available datasets in such a subarea. We also discuss the challenges and opportunities concerning each of the surveyed software engineering subareas.</t>
  </si>
  <si>
    <t>Google Scholar</t>
  </si>
  <si>
    <t>Evaluating the use of model-based requirements verification method: A feasibility study</t>
  </si>
  <si>
    <t>Requirements engineering is one of the most important and critical phases in the software development life cycle, and should be carefully performed to build high quality and reliable software. However, requirements are typically gathered through various sources and represented in natural language (NL), making requirements engineering a difficult, fault prone, and a challenging task. To address this challenge, we propose a model-based requirements verification method called NLtoSTD, which transforms NL requirements into a state transition diagram (STD) that can be verified through automated reasoning. This paper analyzes the effect of NLtoSTD method in improving the quality of requirements. To do so, we conducted an empirical study at North Dakota State University in which the participants employed the NLtoSTD method during the inspection of requirement documents to identify the amibiguities and incompleteness of requirements. The experiment results show that the proposed method is capable of finding ambiguities and missing functionalities in a set of NL requirements, and provided us with insights and feedback to improve the method. The results are promising and have motivated the refinement of NLtoSTD method and future empirical evaluation.</t>
  </si>
  <si>
    <t>duplicate</t>
  </si>
  <si>
    <t>Model Based Requirements Analysis and Testing of Automotive Systems with Timed Usage Models</t>
  </si>
  <si>
    <t>In the automotive industry requirements are often still composed of natural language text, spreadsheets, drawings, and formal models. Models are often used to describe partial aspects from the whole set of requirements. Hence, flaws and vagueness in requirements are common and hard to discover. Upcoming standards like ISO 26262 request the automotive industry to be more strict and formal on the requirements. Formal notation and unambiguitiy is explicitely stated. In the field of system and acceptance testing requirements are the basis for all activities. Although, requirements are often not close to testing. To overcome this we introduced the Timed Usage Model (TUM) as a formal representation of requirements specification. During the creation of the model the requirements are analyzed and brought into an unambiguous and formal representation. Traceability is achieved, as each path in the model must be based upon a requirement. The formulation of the requirements in form of an unambiguous model clarifies the requirements and helps to detect design errors. During the creation of the model omissions and flaws in the requirements are discovered. The model serves as a communication medium when functionality responsibles are involved to clarify these aspects. Timed Usage Models were created for power train functionality and the energy management. Moreover, the model as a formalized representation of the requirements served as the basis for the whole testing process, including test planning, test case generation, and test campaign analysis.</t>
  </si>
  <si>
    <t>Model-based requirement generation</t>
  </si>
  <si>
    <t>Model-based systems engineering (MBSE) is intended to enhance productivity and quality through a paradigm shift from document-centric engineering. However, most MBSE development tools require the manual creation of requirement constructs. This time consuming step is vulnerable to human error, and must be repeated as high-level designs inevitably evolve. This paper describes a capability that uses SysML structure and behavior diagrams to automatically generate textual requirements. Using modified off-the-shelf MBSE software, information is extracted from SysML constructs (e.g., blocks, states, activities) and combined in SysML requirement objects. The requirement syntax conforms to NASA and DoD standards. Requirements are based on SysML construct relationships (e.g., allocations, control flows, object flows) commonly used in diagrams to describe system architectures and designs. Through the embedded error checker, designers can ensure that requirements are complete and consistent. When new requirement constructs are created, traceability to the “parent” SysML constructs is automatically created to capture the rationale. As the architectural models evolve, the requirements are updated to ensure consistency with configuration management and other model-based tools. Such an approach allows designers to quickly assess the impact of requirement changes and reduces requirement management costs. The capability is demonstrated by comparing model generated requirements to a traditionally developed GPS receiver specification.</t>
  </si>
  <si>
    <t>Model Based Testing of System Requirements using UML Use Case Models</t>
  </si>
  <si>
    <t>Demonstrating test coverage of requirements is important in regulated business such as health care. Effective test coverage requires not only a well organized testing effort, but also requires testable requirements. Requirements are often reported as not suitable for testing, because they are, for instance, incomplete or too ambiguous. We describe experience with an approach for creating system test cases using UML use case models and to argue for early steps in requirements engineering to ensure the testability of requirements. We describe a technique that we used to migrate to model based testing by reverse engineering use case models from existing test cases and then regenerating the same test cases back from a use case model. We describe tool support for this approach (TDE/UML) that allows efficient use of this approach for creation of system tests and our experiences with a Siemens Medical project.</t>
  </si>
  <si>
    <t>A Systematic Review of the Use of Requirements Engineering Techniques in Model-Driven Development</t>
  </si>
  <si>
    <t>Model-Driven Development (MDD) emphasizes the use of models at a higher abstraction level in the software development process and argues in favor of automation via model execution, transformation, and code generation. However, one current challenge is how to manage requirements during this process whilst simultaneously stressing the benefits of automation. This paper presents a systematic review of the current use of requirements engineering techniques in MDD processes and their actual automation level. 72 papers from the last decade have been reviewed from an initial set of 884 papers. The results show that although MDD techniques are used to a great extent in platform-independent models, platform-specific models, and at code level, at the requirements level most MDD approaches use only partially defined requirements models or even natural language. We additionally identify several research gaps such as a need for more efforts to explicitly deal with requirements traceability and the provision of better tool support.</t>
  </si>
  <si>
    <t>Applying Model-based Requirements Engineering in Three Large European Collaborative Projects: An Experience Report</t>
  </si>
  <si>
    <t>In this paper, we report on our 5-year’s practical experience of designing, developing and then deploying a Model-based Requirements Engineering (MBRE) approach and language in the context of three different large European collaborative projects providing complex software solutions. Based on data collected both during projects execution and via a survey realized afterwards, we intend to show that such an approach can bring interesting benefits in terms of scalability (e.g., large number of handled requirements), heterogeneity (e.g., partners with different types of RE background), traceability (e.g. from the requirements to the software components), automation (e.g., requirement documentation generation), usefulness or usability. To illustrate our contribution, we exemplify the application of our MBRE approach and language with concrete elements coming from one of these European research projects. We also discuss further the general benefits and current limitations of using this MBRE approach and corresponding language.</t>
  </si>
  <si>
    <t>Towards model-based requirements engineering for Web-enabled B2B applications</t>
  </si>
  <si>
    <t>Requirements engineering is a discipline within software engineering where model based approaches are still not widespread. Generally requirements are regarded as less or more structured text fragments that are interpreted by stakeholders and developers, who manually manage the requirement interrelationships. We give an overview over the basic concepts of a model-based requirements engineering approach that is currently developed by the project KOGITO. The focus of the paper is on the presentation of the underlying conceptual model and its relationship to different kinds of requirements specification documents. We present an overview over a domain specific conceptual model that is targeted at the requirements engineering for Web-enabled B2B systems. The presented model is capable of managing requirements stemming from various kinds of documents, including B2B standard specifications. Finally, we show how these requirements are integrated and related into our conceptual model. Thereby, general guidelines for the structure of conceptual models for requirements engineering are identified.</t>
  </si>
  <si>
    <t>Constructing True Model-Based Requirements in SysML</t>
  </si>
  <si>
    <t>Some authors suggest that transitioning requirements engineering from the traditional statements in natural language with shall clauses to model-based requirements within a Model-Based Systems Engineering (MBSE) environment could improve communication, requirements traceability, and system decomposition, among others. Requirement elements in the Systems Modeling Language (SysML) fail to fulfill this objective, as they are really a textual requirement in natural language as a model element. Current efforts to directly leverage behavioral and structural models of the system lack an overarching theoretical framework with which to assess the adequacy of how those models are used to capture requirements. This paper presents an approach to construct true model-based requirements in SysML. The presented approach leverages some of SysML’s behavioral and structural models and diagrams, with specific construction rules derived from Wymore’s mathematical framework for MBSE and taxonomies of requirements and interfaces. The central proposition of the approach is that every requirement can be modeled as an input/output transformation. Examples are used to show how attributes traditionally thought of as non-functional requirements can be captured, with higher precision, as functional transformations.</t>
  </si>
  <si>
    <t>Model-based requirements engineering with autoRAID</t>
  </si>
  <si>
    <t>While software design is increasingly based on models, requirements engineering is generally performed using structured text; as a consequence, only a weakly structured connection to design is possible. Model-based requirements engineering can bridge this gap. With AutoRAID we introduce a tool prototype supporting a structured and integrated requirements model, and operations for refinement and structuring leading from textual requirements to the design model.</t>
  </si>
  <si>
    <t>A Requirement Tool to Support Model-Based Requirement Engineering</t>
  </si>
  <si>
    <t>Most requirement documents are written in natural languages and represented in less structured and imprecise formats. Including requirement phase. Artifacts created in phases of software life cycle are required to be modeled and integrated, so the traceability, consistency, and completeness can be ensured. Without proper assistance, extracting and integrating artifacts in requirement documents represented in editor such as MS Word requires a lot of manual effort. Model-driven architecture (MDA) development help user to generating systems from high-level system models and requirements models. In this paper, we will present a model-driven object-oriented requirement editor (MOR Editor) which supports requirement document modeling and model-driven document editing. MOR Editor supports requirement engineers objectize requirement artifacts, link related requirement artifacts, provide reusable requirement template, and create a requirement document model which can integrate with artifacts in analysis, design, and implementation phases. With the support of MOR Editor, the traceability, consistency, completeness, and maintainability of requirement documents can be enhanced. A case study of using MOR Editor will be used to demonstrate the merit of proposed requirement editor.</t>
  </si>
  <si>
    <t>Model-based requirements engineering for system of systems</t>
  </si>
  <si>
    <t>Model-based systems engineering is a discipline of systems engineering where a model forms the heart of all the systems engineering activities and is the basis of many of the project artefacts. Systems modelling is no longer viewed as simply a `good idea' but is, however, increasingly become an essential part of any systems engineering project. Indeed, this is the start point for the EU FP7 project known as COMPASS (Comprehensive Modelling for Advanced Systems of Systems) that has funded this research. The application of model-based systems engineering is becoming well understood at the systems level, however, there is a lack of research and subsequent industrial application at the system of systems (SoS) level. The main aim of the COMPASS project is to provide an approach for SoS including: processes, tools and new modelling techniques. This paper discusses how a model-based systems engineering approach was developed for requirements engineering that could be applied to both system of systems (SoS) and its constituent system (CS) level. This approach would meet the requirements of current best practice in system of systems in terms of established standards and research.</t>
  </si>
  <si>
    <t>A Model-Based Approach for Requirements Engineering for Systems of Systems</t>
  </si>
  <si>
    <t>Model-based systems engineering (MBSE) is a discipline of systems engineering in which the model forms the heart of all the systems engineering activities and is the basis of many of the project artefacts. Systems modeling is no longer viewed as simply a “good idea” but is becoming an increasingly important part of any systems engineering project. The application of MBSE is becoming well understood at the systems level; however, there is a lack of research and subsequent industrial application at the system of systems (SoS) level. This paper presents a model-based approach to requirements engineering for SoSs. The approach is derived from an MBSE approach to requirements engineering and therefore represents current best practice in SoSs in terms of established standards and research. This paper builds upon and is an evolution of the initial foundations for model-based requirements engineering for systems of systems that were published in an earlier paper.</t>
  </si>
  <si>
    <t>Requirements management within a full model-based engineering approach</t>
  </si>
  <si>
    <t>In this paper we show how the Property-Based Requirements (PBR) theory can be used to fully integrate Requirements Engineering (RE) into a Model-Based Systems Engineering (MBSE) method using OMG UML ...</t>
  </si>
  <si>
    <t>Model-based requirements engineering: Architecting for system requirements with stakeholders in mind</t>
  </si>
  <si>
    <t>Specifying system requirements (SysReqs) is a critical activity in complex systems development. The SysReqs and emerging architecture are constructed through gradual and iterative transition from the problem domain and operational stakeholder requirements to the conceptual solution domain. They later constitute the basis for functional requirements elaborating, concept formation, technology selection, function-to-form allocation, and asset utilization. Only rarely can stakeholder requirements (SHRs) readily translate to SysReqs. Systems engineers must therefore elicit, analyze, and evolve the SysReqs, as these will radically affect the system's performance, robustness, endurance, and appeal. Model-Based Systems Engineering (MBSE) provides a framework for effective and consistent systems engineering and architecting. MBSE relies on modeling languages, such as Object-Process Methodology (OPM). OPM is a holistic MBSE paradigm and language for complex systems and processes, standardized as ISO 19450, which relies on the principle of minimal universal ontology. In this paper, we propose a model-based requirement engineering (MBRE) approach to facilitate the transition from SHRs to SysReqs, and from SysReqs to system architecture specification. We demonstrate the applicability of this framework in architecting a robotic baggage loading system for a leading international airport.</t>
  </si>
  <si>
    <t>Toward model-based requirement engineering tool support</t>
  </si>
  <si>
    <t>The OpenOrbiter CubeSat Development Initiative is working to build a small spacecraft system using open source software and open hardware principles. Some important design considerations for the CubeSat are nonfunctional requirements. The key contribution of this work is presenting the design of a requirement engineering tool that can be used to speed up the requirement elicitation and specification of system-wide qualities such as availability, performance, and security based on the use of quality attribute scenarios. A prototype application, utilizing the concept of quality attribute scenarios which was originally proposed by the Carnegie Mellon Software Engineering Institute (SEI), was designed and implemented. These quality attribute scenarios are the equivalent of UML scenarios and use-cases. They are built specifically to document the nonfunctional requirements and use a quality scenario template.</t>
  </si>
  <si>
    <t>A Model-based Object-oriented Approach to Requirement Engineering (MORE)</t>
  </si>
  <si>
    <t>Most requirement documents were written in ambiguous natural languages which are less formal and imprecise. Without modeling the requirement documents, the knowledge of the requirement is hard to be kept in a way, which can be analyzed and integrated with artifacts in other phases of software life cycle, e.g. UML diagrams in analysis and design phases. Therefore, maintaining the traceability and consistency of requirement documents and software artifacts in other phases is costly and error prone. In this paper, we propose a model-based object-oriented approach to requirement engineering (MORE). Applying modeling and OO technologies to requirement phases, the domain knowledge can be captured in a well-defined model, so the completeness, consistency, traceability and reusability of requirement and its integration with the artifacts of other phases can be cost effectively improved. A case study has shown the promise of our approach.</t>
  </si>
  <si>
    <t>Security &amp; Safety by Model-based Requirements Engineering</t>
  </si>
  <si>
    <t>Cyber-physical systems (CPS), like autonomous vehicles, are intelligent and networked. The development of such systems requires interdisciplinary cooperation between different stakeholders. A lack of system understanding between stakeholders can lead to unidentified security threats &amp; safety hazards in requirements engineering, resulting in high costs in product development. In particular, a lack of an integrative consideration of security threats &amp; safety hazards can compromise safety compliance for CPS. Model-based requirements engineering (MBRE) improves the understanding of systems between stakeholders by additionally creating supporting models to system requirements. However, MBRE approaches only partially address security threats &amp; safety hazards. In particular, their integrative consideration is not taken into account. Established security &amp; safety approaches are either only applicable to specific disciplines or only partially consider security threats &amp; safety hazards. Overall, existing approaches do not fully cover the MBRE process. In the context of this paper, the results of three scientific papers are consolidated with the aim to create a basis for a holistic MBRE approach, which considers security threats &amp; safety hazards integratively. In each of the papers, sub-criteria of the holistic MBRE approach are presented. Furthermore, elaborated and planned tools for the individual process steps are presented.</t>
  </si>
  <si>
    <t>Towards Industry 4.0: Gap Analysis between Current Automotive MES and Industry Standards Using Model-Based Requirement Engineering</t>
  </si>
  <si>
    <t>The dawn of the fourth industrial revolution, Industry 4.0 has created great enthusiasm among companies and researchers by giving them an opportunity to pave the path towards the vision of a connected smart factory ecosystem. However, in context of automotive industry there is an evident gap between the requirements supported by the current automotive manufacturing execution systems (MES) and the requirements proposed by industrial standards from the International Society of Automation (ISA) such as, ISA-95, ISA-88 over which the Industry 4.0 is being built on. In this paper, we bridge this gap by following a model-based requirements engineering approach along with a gap analysis process. Our work is mainly divided into three phases, (i) automotive MES tool selection phase, (ii) requirements modeling phase, (iii) and gap analysis phase based on the modeled requirements. During the MES tool selection phase, we used known reliable sources such as, MES product survey reports, white papers that provide in-depth and comprehensive information about various comparison criteria and tool vendors list for the current MES landscape. During the requirement modeling phase, we specified requirements derived from the needs of ISA-95 and ISA-88 industrial standards using the general purpose Systems Modeling Language (SysML). During the gap analysis phase, we find the misalignment between standard requirements and the compliance of the existing software tools to those standards.</t>
  </si>
  <si>
    <t>Evolution in Domain Model-Based Requirements Engineering for Control Systems Development</t>
  </si>
  <si>
    <t>When developing software-based control systems, knowledge and experiences in the relevant domain are of great importance. Small- and medium-sized enterprises (SMEs) that are most active here need to capture requirements under severe time and costs pressures. In previous work we have shown that a domain model based on the requirements formalism i* accelerates the requirements capture. Furthermore, the domain model-based similarity search supports the detection of reusable components from earlier projects. But due to the innovativeness, flexibility, and customer-orientation of control systems development, this domain model is subject to continuous change. Within this paper, we investigate the effects of model evolution on our domain model-based requirements engineering approach. Building on examples from industrial practice, we develop a classification of possible domain model modifications. For each such class, we analyze its impact on the similarity search and derive appropriate counter measures to limit these harmful impacts.</t>
  </si>
  <si>
    <t>Requirements Engineering for Scientific Computing: A Model-Based Approach</t>
  </si>
  <si>
    <t>Requirements engineering is crucial to the success of software development. However, in many scientific computing projects, traditional requirements engineering practices are ignored. We claim that there is a need for methodologies, which help capturing and managing requirements for these projects, to collaboratively develop scientific software with greater interoperability. We propose a model-based approach to elicit and manage requirements in scientific computing projects. The proposed approach is based on a meta-model in order to deal with the high complexity and frequent change in scientific software development. The meta-model also provides abstractions and notations targeted at scientific computing projects. The approach supports requirements engineering in these projects with the flexibility of easily managing requirements versioning, trace ability and communication across the boundary of disciplines. A tool prototype is implemented. To evaluate the proposed approach, we applied it in scientific computing projects. The approach has showed its advantages in the application and promotes software engineering in these projects.</t>
  </si>
  <si>
    <t>CORAMOD: a checklist-oriented model-based requirements analysis approach</t>
  </si>
  <si>
    <t>Requirement development activities such as requirements analysis and modelling are well defined in software engineering. A model-based requirement development may result in significant improvements in engineering design. In current product development activities in this domain, not all requirements are consciously identified and modelled. This paper presents the checklist-oriented requirements analysis modelling (CORAMOD) approach. CORAMOD is a methodology for the use of model-based systems engineering for requirements analysis of complex products utilizing checklists, the simplest kind of rational design method. The model-based focuses the requirements analysis process on requirement modelling, whereas the checklist encourages a conscious and systematic approach to identify requirements. We illustrate the utility of CORAMOD artefacts by a comprehensive case study example and modelling with system modelling language (SysML). We suggest that visual accessibility of the SysML views facilitates the full participation of all stakeholders and enables the necessary dialogue and negotiation. The approach promotes tracing derived requirements to the customer need statement and enhances validation by model execution and simulation.</t>
  </si>
  <si>
    <t>MIRA: A tooling-framework to experiment with model-based requirements engineering</t>
  </si>
  <si>
    <t>Model-based requirements engineering supports eliciting, specifying and analyzing the work products elaborated during the requirements engineering process by providing adequate models. However, especially the inclusion of formal models needs to be investigated further. These models represent requirements and have to be integrated with reference models that define and structure the work results and their relations. We have developed the research tool MIRA to provide an infrastructure for the tool-based evaluation of the usage of models in the field of requirements engineering. In this paper we present the research questions addressed by MIRA concerning the reference model and the formal models. We explain how MIRA supports answering these research questions.</t>
  </si>
  <si>
    <t>Enabling model-based requirements engineering in a complex industrial System of Systems environment</t>
  </si>
  <si>
    <t>The fourth industrial revolution resulted in the emergence of new ways for engineering production lines with the goal to optimize manufacturing processes by reducing expenses at the same time. This trend is mainly supported by the application of interconnected components, which are managed in a distributed way, as impelled by the Industrial Internet of Things (IIoT) or Cyber-physical Systems (CPS). While the complexity of these Systems of Systems (SoSs) is constantly rising, requirements engineering before actual implementing the system becomes increasingly difficult. Thus, comprehensive frameworks providing a foundation for model-based systems engineering, like the Reference Architecture Model Industrie 4.0 (RAMI 4.0) or the Software Platform Embedded Systems (SPES), have been introduced. Although providing a standardized methodology, missing formalizations impede the modeling of systems according to detailed architectural specifications. To address these issues, this paper introduces an approach for eliciting, specifying and managing requirements according to a particular process and aligned to architectural standards. In the end, the result is evaluated by a real-world case study. The outcome of this work will either verify the future system to develop by ensuring traceability or enable interoperability by dealing as a consistent reference point across viewpoints, systems or even domains.</t>
  </si>
  <si>
    <t>Model-Based Requirements</t>
  </si>
  <si>
    <t>This chapter presents several approaches to capture requirements using models. The different modeling constructs are presented, followed by examples of how they work when capturing requirements. The approaches are organized in three groups. The first group includes the approaches that are more widely used in practice. They include those that use a dedicated model class to capture requirements and those that flag system models as requirements. The second group includes approaches that leverage mathematical constructs, paying attention to the Wymorian framework and the Property-Model Methodology. The third group addresses those methods that are based on defining dedicated semantics to capture the problem space. The chapter concludes with a discussion of how model-based approaches to capture requirements affect the elicitation, derivation, and trade-off of needs and requirements.</t>
  </si>
  <si>
    <t>Digitalisation of Agriculture: Development and Evaluation of a Model-based Requirements Engineering Process</t>
  </si>
  <si>
    <t>Context and Motivation] The requirements elicitation process for socio-technical systems requires the involvement of diverse stakeholders with different backgrounds and skills. In these contexts, effective communication between business analysts and stakeholders can be supported by model-based requirements engineering (MoDRE) strategies, which leverage diagrammatic notations as a means for information exchange. [Question/Problem] Several diagrams and approaches exist to facilitate MoDRE. However, empirical evidence on their applicability to real-world contexts with a relevant social component, and going through a process of digitalisation, is limited. Furthermore, existing approaches do not evaluate the impact that the deployment of a novel digital system has on the process and its actors. [Principal idea/Results] The research outlined in this paper aims to evaluate the joint usage of typical requirements engineer notations, namely i*, class diagrams, and business process models in the elicitation of requirements for socially-intensive systems that are going through a transformative digitalisation process. We apply these notations to represent the system as-is, and the system to-be, with the goal of also evaluating the impact of digitalisation. We focus on living labs (networks of stakeholders in a socio-technical system) belonging to the agriculture domain, and provide a preliminary application on a farm that is introducing an AI-based irrigation system. [Contribution] The results show that effective communication with non-technical stakeholders is feasible with the envisioned approach. Although multiple iterations are required, agronomists and farmers are able to provide constructive feedback on the basis of the models. Furthermore, impacts in terms of additional/removed tasks and actors can be effectively characterised through business process models. As part of our overall project, we will refine the method, and then apply it in 20 living labs in the EU.</t>
  </si>
  <si>
    <t>Teaching Model-Based Requirements Engineering to Industry Professionals: An Experience Report</t>
  </si>
  <si>
    <t>The use of conceptual models to foster requirements engineering has been proposed and evaluated as beneficial for several decades. For instance, goal-oriented requirements engineering or the specification of scenarios are commonly done using conceptual models. Bringing such model-based requirements engineering approaches into industrial practice typically requires industrial training. In this paper, we report lessons learned from a training program for teaching industry professionals model-based requirements engineering. Particularly, we as educators and learners report experiences from designing the training program, conducting the actual training, and applying the instructed material in our day-to-day work. From these findings we provide guidelines for educators designing requirements engineering courses for industry professionals.</t>
  </si>
  <si>
    <t>Model-based requirements specification of real-time systems with UML, SysML and MARTE</t>
  </si>
  <si>
    <t>Activities of specification, analysis and design of real-time systems (RTS) are highly dependent on an effective understanding of the application domain and on the thorough representation of their basic requirements. Model-based approaches using modeling languages such as UML are often applied to contribute to handle complexity of RTS development. However, UML alone does not completely represent important features associated with these systems, such as relationship with hardware elements and an effective representation of timing constraints. This article explores the combined use of UML and its profiles SysML and MARTE for modeling hardware and software requirements of RTS, with application to a case of controlling urban road traffic. The SysML profile alone does not present the representation of temporal, behavioral and performance requirements. The MARTE profile provides key resources to specify non-functional requirements for RTS, in addition to a clear description of the various relevant aspects of requirements definition of RTS, as for instance, temporal aspects and constraints. The main objective is to present the combined application of SysML with MARTE stereotypes, which enables the specification of different features of individual software requirements. Thus, in addition to the factors mentioned above, we can say that the proposed approach has an important role to specify RTS at different levels of detail and levels of abstraction.</t>
  </si>
  <si>
    <t>Combining Xtext and OSLC for Integrated Model-Based Requirements Engineering</t>
  </si>
  <si>
    <t>Requirements engineering is still a very challenging issue. This is true for most embedded systems and especially for safety-critical ones. A good requirements engineering process is vital for the development of high quality products, but these systems are often highly complex which complicates the respective activities. The use of natural language requirements is common practice, because they are easy to use and understand for people working in different engineering disciplines. However, natural language is ambiguous and vague and may lead to misunderstandings and incorrect implementations. Another big challenge is the often loose coupling of requirements and other development artifacts which hinders traceability and thus impact analysis. This paper presents an approach based on the Xtext framework for the implementation of a restricted requirements language to support engineers in writing requirements with higher quality. In order to improve tool integration, the approach supports OSLC (Open Services for Lifecycle Collaboration), which is a promising method to better support traceability using linked data principles. By using OSLC it is possible to easily extend existing requirements management tools with our proposed implementation for requirements semi-formalization as long as requirements management tools provide the respective OSLC interface. Finally, we will demonstrate our concepts using an example from the automotive domain. The example shows how the tool implementation can be integrated in a tool chain.</t>
  </si>
  <si>
    <t>Towards the Integration of Cybersecurity Risk Assessment into Model-based Requirements Engineering</t>
  </si>
  <si>
    <t>Engineering projects requires to consider the increasingly significant needs and constraints regarding expected behaviors, services, quality and security. These requirements are introduced into system and software engineering projects as functional and non-functional properties. Satisfying such properties implies rigorous processes that steer the project, from the requirements identification and definition to the system deployment and maintenance. Model-Based System Engineering (MBSE) is an effective approach to address security requirements and risk assessment at the early stages of the development life cycle, which enables cost-efficient fixes. The aim of this work is to investigate how cybersecurity risk assessment could be integrated into model-based requirement engineering. We propose a Model-based Cyberisk Assessment (MBCA) method, that comprises: (1) A semantic alignment between risk assessment concepts and system modeling concepts and (2) A modeling language extension to represent security concepts and metrics throughout the system modeling life cycle. To illustrate our approach, validate its applicability and evaluate its expressiveness, we applied it to an industrial in-flight entertainment system.</t>
  </si>
  <si>
    <t>Model Based Requirements Engineering for Embedded Software</t>
  </si>
  <si>
    <t>Summary form only given. Software and systems development within the embedded area is dominated by model based design techniques. These techniques are commonly aligned to standard. modeling languages such as UML. Along with software and systems design techniques the concern of requirements management methodologies has been continuously increasing, with the aim of improving the overall development process. As a combination of both model based design techniques and requirements management methodologies, a new kind of requirements engineering methodology has been established. However, due to the complexity of this methodology and the high degree of informal aspects a unique and integrated methodology for requirements engineering is still needed. This presentation gives a survey of existing requirements classifications and motivates the use of model based requirements classification techniques. The transition of informal requirements to first models is illustrated.</t>
  </si>
  <si>
    <t>A Review of Security Requirements Engineering Methods with Respect to Risk Analysis and Model-Driven Engineering</t>
  </si>
  <si>
    <t>One of the most important aspects that help improve the quality and cost of secure information systems in their early stages of the development lifecycle is Security Requirements Engineering (SRE). However, obtaining such requirements is non-trivial. One domain dealing also with eliciting security requirements is Risk Analysis (RA). Therefore, we perform a review of SRE methods in order to analyse which ones are compatible with RA processes. Moreover, the transition from these early security requirements to security policies at later stages in the lifecycle is generally non-automatic, informal and incomplete. To deal with such issues, model-driven engineering (MDE) uses formal models and automatic model transformations. Therefore, we also review which SRE methods are compatible with MDE approaches. Consequently, our review is based on criteria derived partially from existing survey works, further enriched and specialized in order to evaluate the compatibility of SRE methods with the disciplines of RA and MDE. It summarizes the evidence regarding this issue so as to improve understanding and facilitate evaluating and selecting SRE methods.</t>
  </si>
  <si>
    <t>Model-based requirements and properties specifications trends for early design verification of embedded systems</t>
  </si>
  <si>
    <t>Model Based System Engineering (MBSE) has shown promising results for early design verification of embedded systems. It requires to specify system properties / constraints at higher abstraction level along with the structural and behavioral requirements. However, selection of appropriate requirement and property specifications approaches is challenging due to complex behavioral / temporal aspects of embedded systems. To analyze the scientific advancements, in this article, an investigation of emerging trends for the representation of constraints and the utilization/customization of UML along with its SYSML / MARTE profiles is presented. 52 researches are selected through a Systematic Literature Review (SLR). It allows to analyze the utilization and customization of aforementioned profiles for requirement specification of embedded systems. Another outcome is the identification and comparative analysis of properties specification trends for the representation of embedded systems constraints at higher abstraction level. This investigation certainly benefits the researchers and practitioners for the selection of appropriate requirement and property specification approaches in MBSE for embedded systems.</t>
  </si>
  <si>
    <t>Model Based Requirements Specification and Validation for Component Architectures</t>
  </si>
  <si>
    <t>Requirements specification is a major component of the system development cycle. Mistakes and omissions in requirements documents lead to ambiguous or wrong interpretation by engineers and, in turn, cause errors that trickle down in design and implementation with consequences on the overall development cost. In this paper we describe a methodology for requirements specification that aims to alleviate the above issues and that produces models for functional requirements that can be automatically validated for completeness and consistency. This methodology is part of the Requirements Driven Design Automation framework (RDDA) that we develop for component-based system development. The RDDA framework uses an ontology-based language for semantic description of functional product requirements, UM- L/SysML structure diagrams, component constraints, and Quality of Service. The front end method for requirements specification is the SysML editor in Rhapsody. A requirements model in OWL is converted from SysML XMI representation. The specification is validated for completeness and consistency with a ruled-based system implemented in Prolog. With our methodology, omissions and several types of consistency errors present in the requirements specification are detected early on, before the design stage.</t>
  </si>
  <si>
    <t>Requirements engineering in a model-based methodology for embedded automotive software</t>
  </si>
  <si>
    <t>This paper resumes the requirements engineering in a model-based methodology for embedded automotive software. The methodology relies on two standard languages: EAST-ADL for automotive architecture description and SysML for systems modeling. The requirements engineering in the methodology describes phases of elicitation, modeling, traceability, verification and validation. It is illustrated by applying on a case study — the knock controller — a part of the engine management system.</t>
  </si>
  <si>
    <t>Requirements Engineering for Model-Based Enterprise Architecture Management with ArchiMate</t>
  </si>
  <si>
    <t>The role of information systems (IS) evolved from supporting basic business functions to complex integrated enterprise platforms and ecosystems. As a result, enterprises increasingly adopt enterprise architecture (EA) as a means to manage complexity and support the ability to change. We initiated a study that investigates the pivotal role of enterprise architecture management (EAM) as an essential strategy to manage enterprise change and within this larger context, specifically how the ArchiMate modeling language can be enhanced with capabilities that support EAM. This paper reports on the evaluation of an EA modeling tool (TEAM) which has been enhanced with EAM capabilities. The evaluation was performed by a focus group of enterprise architects that attended a workshop and applied the tool to an EAM case study. The evaluation results, requirements as well as a conceptualization for further development are presented and are of value for both, enterprise architecture researchers and enterprise architects.</t>
  </si>
  <si>
    <t>An Industrial Feedback on Model-Based Requirements Engineering in Systems Engineering Context</t>
  </si>
  <si>
    <t>In this paper, we synthesize a study aiming at providing industrial feedback, challenges and advanced research on the way Model-Based Systems Engineering can be used to define system requirements as well as system architecture with traceability to system requirements, which are considered as key success factors for the concerned industries.</t>
  </si>
  <si>
    <t>From Model-Based Requirements to a Virtual Systems Engineering Advisor that Identifies Gaps in Requirements: An Application to Space Systems</t>
  </si>
  <si>
    <t>Requirements have traditionally had a prominent role in the development of space systems. Engineers pursue completeness when establishing sets of requirements to avoid inadvertently developing or accepting systems that are present interoperability problems or a simply not fit for purpose. Yet, requirement gaps are common in the development of space systems. If lucky, those gaps are identified (and costly corrected) before the space system is deployed. Otherwise, those gaps reduce the success of the space mission as the system becomes operational. Unfortunately, the completeness of a set of requirements cannot be demonstrated; rather, completeness is a pursuit. Hence, the level of comprehensiveness of a set of requirements that can be attained is heavily driven by the engineer or team put to the task of defining the problem space. In this paper, we present a proof-of-concept of a virtual systems engineering (SE) advisor that supports the engineer in identifying gaps in the sets of requirements. The SE advisor evaluates requirements that are formulated as models and leverages a knowledge repository to reason about the meaning of the model-based requirements. If potential gaps in the set of requirements are identified, then the SE advisor presents them to the engineer, who decides how to address the gaps. For the proof-of-concept presented in this paper, requirements of a notional communications payload were modeled using the True Model-Based Requirements (TMBR) framework, which was implemented using an extension of the Systems Modeling Language (SysML). The SE advisor was embedded as a plug-in in a Model-Based Systems Engineering (MBSE) environment. The knowledge repository was limited to a set of hardcoded rules that captured knowledge associated to structural relationships of the model. Specifically, the rules capture fundamental meaning of model objects instead of syntactic ones. In this way, the SE advisor is purposed towards assessing requirements validation, not verifying model construction.</t>
  </si>
  <si>
    <t>Proxy Viewpoints Model-based Requirements engineering</t>
  </si>
  <si>
    <t>This paper addresses the problem of the "missing requirements" in software requirement specification (SRS) expressed in natural language. Due to rapid changes in technology and business frequently witnessed over time, the original SRS documents often experience the problems of missing, not available, and hard-to-locate requirements. One of the flaws in earlier solutions to this problem has no consideration for missing requirements from multiple viewpoints. Furthermore, since such SRS documents represent an incomplete domain model, manual discovery (identification and incorporation) of missing requirements is highly labor intensive and error-prone. Consequently, deriving and improving an efficient adaptation of SRS changes remain a complex problem. In this paper, we present a new methodology entitled "Proxy Viewpoints Model-based Requirements Discovery (PVRD)". Through the requirements discovery and analysis process, PVRD methodology provides ways to construct proxy viewpoints model from legacy status requirements. Requirements term expansion technique facilitates the retrieval process of requirements of interest based on the improved requirements representation space in proxy viewpoints model. The PVRD methodology provides an integrated environment that supports requirements discovery process as well as efficient management.</t>
  </si>
  <si>
    <t>Model-Based Requirements Management in Gear Systems Design Based On Graph-Based Design Languages</t>
  </si>
  <si>
    <t>For several decades, a wide-spread consensus concerning the enormous importance of an in-depth clarification of the specifications of a product has been observed. A weak clarification of specifications is repeatedly listed as a main cause for the failure of product development projects. Requirements, which can be defined as the purpose, goals, constraints, and criteria associated with a product development project, play a central role in the clarification of specifications. The collection of activities which ensure that requirements are identified, documented, maintained, communicated, and traced throughout the life cycle of a system, product, or service can be referred to as “requirements engineering”. These activities can be supported by a collection and combination of strategies, methods, and tools which are appropriate for the clarification of specifications. Numerous publications describe the strategy and the components of requirements management. Furthermore, recent research investigates its industrial application. Simultaneously, promising developments of graph-based design languages for a holistic digital representation of the product life cycle are presented. Current developments realize graph-based languages by the diagrams of the Unified Modelling Language (UML), and allow the automatic generation and evaluation of multiple product variants. The research presented in this paper seeks to present a method in order to combine the advantages of a conscious requirements management process and graph-based design languages. Consequently, the main objective of this paper is the investigation of a model-based integration of requirements in a product development process by means of graph-based design languages. The research method is based on an in-depth analysis of an exemplary industrial product development, a gear system for so-called “Electrical Multiple Units” (EMU). Important requirements were abstracted from a gear system specification list and were analyzed in detail. As a second basis, the research method uses a conscious expansion of graph-based design languages towards their applicability for requirements management. This expansion allows the handling of requirements through a graph-based design language model. The first two results of the presented research consist of a model of the gear system and a detailed model of requirements, both modelled in a graph-based design language. Further results are generated by a combination of the two models into one holistic model.</t>
  </si>
  <si>
    <t>Model-based systems engineering: Motivation, current status, and research opportunities</t>
  </si>
  <si>
    <t>As systems continue to grow in scale and complexity, the Systems Engineering community has turned to Model-Based Systems Engineering (MBSE) to manage complexity, maintain consistency, and assure traceability during system development. It is different from “engineering with models,” which has been a common practice in the engineering profession for decades. MBSE is a holistic, systems engineering approach centered on the evolving system model, which serves as the “sole source of truth” about the system. It comprises system specification, design, validation, and configuration management. Even though MBSE is beginning to see a fair amount of use in multiple industries, specific advances are needed on multiple fronts to realize its full benefits. This paper discusses the motivation for MBSE, and its current state of maturity. It presents systems modeling methodologies and the role of ontologies and metamodels in MBSE. It presents model-based verification and validation (V&amp;V) as an example of MBSE use. An illustrative example of the use of MBSE for design synthesis is presented to demonstrate an important MBSE capability. The paper concludes with a discussion of challenges to widescale adoption and offers promising research directions to fully realize the potential benefits of MBSE.</t>
  </si>
  <si>
    <t>Model Based Process to Support Security and Privacy Requirements Engineering</t>
  </si>
  <si>
    <t>Software systems are becoming more complex, interconnected and liable to adopt continuous change and evolution. It’s necessary to develop appropriate methods and techniques to ensure security and privacy of such systems. Research efforts that aim to ensure security and privacy of software systems ar...</t>
  </si>
  <si>
    <t>Requirements Engineering Challenges in Building AI-Based Complex Systems</t>
  </si>
  <si>
    <t>This paper identifies and tackles the challenges of the requirements engineering discipline when applied to development of AI-based complex systems. Due to their complex behaviour, there is an immanent need for a tailored development process for such systems. However, there is still no widely used and specifically tailored process in place to effectively and efficiently deal with requirements suitable for specifying a software solution that uses machine learning. By analysing the related work from software engineering and artificial intelligence fields, potential contributions have been recognized from agent-based software engineering and goal-oriented requirements engineering research, as well as examples from large product development companies. The challenges have been discussed, with proposals given how and when to tackle them. RE4AI taxonomy has also been outlined, to inform the tailoring of development process.</t>
  </si>
  <si>
    <t>thesis</t>
  </si>
  <si>
    <t>Organizational challenges in (Model-Based) Requirements Engineering in the automotive industry</t>
  </si>
  <si>
    <t>The development of modern technologies has led to major changes in the automotive industry. Requirements Engineering has become pivotal for the success of development projects. The way how organisations operate within a company or between several companies is one of the most important aspects of Requirements Engineering. This research study represents an extension of the earlier research studies in a way that it deepens and broadens the understanding of organizational challenges in the automotive industry. This paper addresses organizational challenges that occur in the automotive companies on a daily basis. The aim of the research study is to understand what kind of challenges exist when it comes to the Requirements Engineering practices. The study also aims to propose suitable solutions to improve the companies’ operations based on the empirical evidence. Literature review is used as an approach for the theoretical part and this is used as a basis for the research study. The qualitative data was gathered from the companies using semi-structured interviews (n=22). The collected data was studied utilizing the thematical data analyzing method. The findings identify multiple challenges and improvement proposals which have been divided into three themes: Communication &amp; Co-Operation, Organizational Culture and People Skills. Requirements Engineering practices in the automotive companies can be developed further when these challenges and proposed improvements are carefully studied and understood.</t>
  </si>
  <si>
    <t>A comparative experiment between textual requirements and model-based requirements on proxies for contractual safety</t>
  </si>
  <si>
    <t>Requirements form the backbone of contracting in acquisition programs. Requirements define the problem boundaries within which contractors try to find acceptable solutions (design systems). At the sa...</t>
  </si>
  <si>
    <t>1</t>
  </si>
  <si>
    <t>0</t>
  </si>
  <si>
    <t>Id</t>
  </si>
  <si>
    <t>Type-0</t>
  </si>
  <si>
    <t>Citation</t>
  </si>
  <si>
    <t>Region</t>
  </si>
  <si>
    <t>Publisher</t>
  </si>
  <si>
    <t>Publication Title</t>
  </si>
  <si>
    <t>Author</t>
  </si>
  <si>
    <t>Type</t>
  </si>
  <si>
    <t>Technology</t>
  </si>
  <si>
    <t>Topic</t>
  </si>
  <si>
    <t>Domain</t>
  </si>
  <si>
    <t>Key Contribution</t>
  </si>
  <si>
    <t>Abstract</t>
  </si>
  <si>
    <t>S001</t>
  </si>
  <si>
    <t>A</t>
  </si>
  <si>
    <t>France</t>
  </si>
  <si>
    <t>IEEE</t>
  </si>
  <si>
    <t>2010 IEEE International Systems Conference</t>
  </si>
  <si>
    <t>R. Guillerm; H. Demmou; N. Sadou</t>
  </si>
  <si>
    <t>Requirements Traceability and Management</t>
  </si>
  <si>
    <t>SysML</t>
  </si>
  <si>
    <t>nonfunctional requirements</t>
  </si>
  <si>
    <t>complex systems</t>
  </si>
  <si>
    <t>proposes a new information model based on SysML to properly manage requirements with a special attention to dependability requirements.</t>
  </si>
  <si>
    <t>S002</t>
  </si>
  <si>
    <t>2010 15th IEEE International Conference on Engineering of Complex Computer Systems</t>
  </si>
  <si>
    <t>H. Dubois; M. -A. Peraldi-Frati; F. Lakhal</t>
  </si>
  <si>
    <t>metamodel、V&amp;V、UML</t>
  </si>
  <si>
    <t>heterogeneous models</t>
  </si>
  <si>
    <t>embedded and real-time systems</t>
  </si>
  <si>
    <t>propose DARWIN4REQ, a metamodel for requirement traceability, based on three independent flows (requirement model, solution model and V&amp;V model).</t>
  </si>
  <si>
    <t>S003</t>
  </si>
  <si>
    <t>Italy</t>
  </si>
  <si>
    <t>Springer</t>
  </si>
  <si>
    <t>Requirements Engineering</t>
  </si>
  <si>
    <t>Ali, Raian; Dalpiaz, Fabiano; Giorgini, Paolo</t>
  </si>
  <si>
    <t>Requirements Modeling Approach</t>
  </si>
  <si>
    <t>Context analysis、goal-oriented modeling</t>
  </si>
  <si>
    <t>contextual requirement modeling</t>
  </si>
  <si>
    <t>systems in varying contexts</t>
  </si>
  <si>
    <t>propose a goal-oriented RE modeling and reasoning framework for systems operating in varying contexts.</t>
  </si>
  <si>
    <t>S004</t>
  </si>
  <si>
    <t>Portugal</t>
  </si>
  <si>
    <t>Software Language Engineering</t>
  </si>
  <si>
    <t>Alférez, Mauricio; Santos, João; Moreira, Ana; Garcia, Alessandro; Kulesza, Uirá; Araújo, João; Amaral, Vasco</t>
  </si>
  <si>
    <t>Requirements Modeling Approach (Language)</t>
  </si>
  <si>
    <t>UML、DSL（VML4RE）</t>
  </si>
  <si>
    <t>model transformatio（model composition）</t>
  </si>
  <si>
    <t>SPL</t>
  </si>
  <si>
    <t>presents a multi-view composition language for SPL requirements, the Variability Modeling Language for Requirements (VML4RE)</t>
  </si>
  <si>
    <t>S005</t>
  </si>
  <si>
    <t>workshopPaper</t>
  </si>
  <si>
    <t>Germany</t>
  </si>
  <si>
    <t>2010 Fifth International Workshop on Requirements Engineering Visualization</t>
  </si>
  <si>
    <t>J. Helming; M. Koegel; F. Schneider; M. Haeger; C. Kaminski; B. Bruegge; B. Berenbach</t>
  </si>
  <si>
    <t>URML（metamodel）</t>
  </si>
  <si>
    <t>interdisciplinary requirements</t>
  </si>
  <si>
    <t>propose the Unified Requirements Modeling Language (URML) to provide integrated and interdisciplinary traceability.</t>
  </si>
  <si>
    <t>S006</t>
  </si>
  <si>
    <t>Switzerland</t>
  </si>
  <si>
    <t>2010 18th IEEE International Requirements Engineering Conference</t>
  </si>
  <si>
    <t>M. Glinz</t>
  </si>
  <si>
    <t>VLML</t>
  </si>
  <si>
    <t>lightweight modeling</t>
  </si>
  <si>
    <t>argue for the creation and use of a very lightweight requirements modeling language as an alternative to textual and pictorial requirements specifications.</t>
  </si>
  <si>
    <t>S007</t>
  </si>
  <si>
    <t>India</t>
  </si>
  <si>
    <t>2010 International Conference on Advances in Recent Technologies in Communication and Computing</t>
  </si>
  <si>
    <t>D. Pandey; U. Suman; A. K. Ramani</t>
  </si>
  <si>
    <t>general model or modeling</t>
  </si>
  <si>
    <t>software development</t>
  </si>
  <si>
    <t>propose an effective requirements engineering process model to produce quality requirements for software development.</t>
  </si>
  <si>
    <t>S008</t>
  </si>
  <si>
    <t>B</t>
  </si>
  <si>
    <t>Luxembourg</t>
  </si>
  <si>
    <t>Transactions on Aspect-Oriented Software Development VII: A Common Case Study for Aspect-Oriented Modeling</t>
  </si>
  <si>
    <t>Amálio, Nuno; Kelsen, Pierre; Ma, Qin; Glodt, Christian</t>
  </si>
  <si>
    <t>VCL、UML</t>
  </si>
  <si>
    <t>aspect-oriented requirements modeling</t>
  </si>
  <si>
    <t>software systems</t>
  </si>
  <si>
    <t>presents an AOM (Aspect-oriented modelling) approach based on the Visual Contract Language (VCL)</t>
  </si>
  <si>
    <t>S009</t>
  </si>
  <si>
    <t>UK</t>
  </si>
  <si>
    <t>Elsevier</t>
  </si>
  <si>
    <t>Information and Software Technology</t>
  </si>
  <si>
    <t>Sun, Lily; Mushi, Cleopa John</t>
  </si>
  <si>
    <t>Requirements Analysis</t>
  </si>
  <si>
    <t>ontological method</t>
  </si>
  <si>
    <t>requirements analysis</t>
  </si>
  <si>
    <t>presents a new ontological method for capturing individual user's requirements and transforming the requirements onto personalised information provision specifications.</t>
  </si>
  <si>
    <t>S010</t>
  </si>
  <si>
    <t>R. Monteiro; J. Araújo; V. Amaral; P. Patrício</t>
  </si>
  <si>
    <t>i*、KAOS、GORE</t>
  </si>
  <si>
    <t>goal-oriented requirement engineering</t>
  </si>
  <si>
    <t>propose the definition and implementation of goal model transformations between i* and KAOS.</t>
  </si>
  <si>
    <t>S011</t>
  </si>
  <si>
    <t>C</t>
  </si>
  <si>
    <t>China</t>
  </si>
  <si>
    <t>Leveraging Applications of Formal Methods, Verification, and Validation</t>
  </si>
  <si>
    <t>Wang, Zheng; Li, Jianwen; Zhao, Yongxin; Qi, Yanxia; Pu, Geguang; He, Jifeng; Gu, Bin</t>
  </si>
  <si>
    <t>DSL（SPARDL）</t>
  </si>
  <si>
    <t>periodic control systems</t>
  </si>
  <si>
    <t>develops a requirement modeling language called SPARDL for modeling and analyzing periodic control systems.</t>
  </si>
  <si>
    <t>S012</t>
  </si>
  <si>
    <t>S. Siegl; K. -S. Hielscher; R. German</t>
  </si>
  <si>
    <t>Timed Usage Model (TUM)</t>
  </si>
  <si>
    <t>automotive systems</t>
  </si>
  <si>
    <t>introduced the Timed Usage Model (TUM) as a formal representation of requirements specification.</t>
  </si>
  <si>
    <t>S013</t>
  </si>
  <si>
    <t>D</t>
  </si>
  <si>
    <t>Canada</t>
  </si>
  <si>
    <t>Mussbacher, Gunter; Amyot, Daniel; Araújo, João; Moreira, Ana</t>
  </si>
  <si>
    <t>Evaluation and Validation</t>
  </si>
  <si>
    <t>AoURN</t>
  </si>
  <si>
    <t>approach evaluation</t>
  </si>
  <si>
    <t>present a qualitative comparison of aspect-oriented techniques for scenario-based and goal-oriented requirements engineering.</t>
  </si>
  <si>
    <t>S014</t>
  </si>
  <si>
    <t>IEEE/ACM</t>
  </si>
  <si>
    <t>2011 33rd International Conference on Software Engineering (ICSE)</t>
  </si>
  <si>
    <t>Y. Li; N. Narayan; J. Helming; M. Koegel</t>
  </si>
  <si>
    <t>Domain Specific Model</t>
  </si>
  <si>
    <t>requirements elicitation</t>
  </si>
  <si>
    <t>scientific computing</t>
  </si>
  <si>
    <t>propose a novel domain specific requirements model to capture requirements for scientific computing projects</t>
  </si>
  <si>
    <t>S015</t>
  </si>
  <si>
    <t>Belgium</t>
  </si>
  <si>
    <t>Information Systems Evolution</t>
  </si>
  <si>
    <t>Decreus, Ken; Poels, Geert</t>
  </si>
  <si>
    <t>BPMN、B-SCP、BPMN、Eclipse、Atlas Transformation Language</t>
  </si>
  <si>
    <t>business-IT alignment</t>
  </si>
  <si>
    <t>introduce a B-SCP metamodel, implement an Eclipse-based B-SCP editor and model transformations to generate BPMN skeletons out of the B-SCP model</t>
  </si>
  <si>
    <t>S016</t>
  </si>
  <si>
    <t>Requirements Engineering: Foundation for Software Quality</t>
  </si>
  <si>
    <t>Wüest, Dustin; Glinz, Martin</t>
  </si>
  <si>
    <t>sketch、modeling symbols、automation</t>
  </si>
  <si>
    <t>present the idea for a seamless, tool-supported transition from informal, sketchy drafts to more formal models such as UML diagrams</t>
  </si>
  <si>
    <t>S017</t>
  </si>
  <si>
    <t>Brazil</t>
  </si>
  <si>
    <t>Journal of Systems and Software</t>
  </si>
  <si>
    <t>Soares, Michel dos Santos; Vrancken, Jos; Verbraeck, Alexander</t>
  </si>
  <si>
    <t>show how some extensions to SysML diagrams and tables can fulfill some requirements for requirements modeling language.</t>
  </si>
  <si>
    <t>S018</t>
  </si>
  <si>
    <t>Spain</t>
  </si>
  <si>
    <t>2011 Model-Driven Requirements Engineering Workshop</t>
  </si>
  <si>
    <t>G. Loniewski; A. Armesto; E. Insfran</t>
  </si>
  <si>
    <t>OpenUP、SOA</t>
  </si>
  <si>
    <t>Architecture-oriented requirement engineering</t>
  </si>
  <si>
    <t>provide a methodological approach for Architecture-oriented Model-Driven Requirements Engineering.</t>
  </si>
  <si>
    <t>S019</t>
  </si>
  <si>
    <t>2011 IEEE Seventh International Conference on e-Science Workshops</t>
  </si>
  <si>
    <t>Li, Yang; Harutunian, Matteo; Narayan, Nitesh; Bruegge, Bernd; Buse, Gerrit</t>
  </si>
  <si>
    <t>a metamodel</t>
  </si>
  <si>
    <t>requirements management</t>
  </si>
  <si>
    <t>propose a model-based approach to elicit and manage requirements in scientific computing projects.</t>
  </si>
  <si>
    <t>S020</t>
  </si>
  <si>
    <t>USA</t>
  </si>
  <si>
    <t>Workshop on Empirical Requirements Engineering (EmpiRE 2011)</t>
  </si>
  <si>
    <t>D. Aceituna; H. Do; G. S. Walia; S. -W. Lee</t>
  </si>
  <si>
    <t>Requirements Verification and Validation</t>
  </si>
  <si>
    <t>NLtoSTD</t>
  </si>
  <si>
    <t>verification and validation</t>
  </si>
  <si>
    <t>propose a model-based requirements verification method called NLtoSTD, which transforms NL requirements into a state transition diagram (STD) that can be verified through automated reasoning.</t>
  </si>
  <si>
    <t>S021</t>
  </si>
  <si>
    <t>Information Sciences</t>
  </si>
  <si>
    <t>Abrahão, Silvia; Insfran, Emilio; Carsí, José Angel; Genero, Marcela</t>
  </si>
  <si>
    <t>present a method for evaluating the quality of requirements modeling methods based on user perceptions.</t>
  </si>
  <si>
    <t>S022</t>
  </si>
  <si>
    <t>Qureshi, Nauman A.; Jureta, Ivan J.; Perini, Anna</t>
  </si>
  <si>
    <t>DSL(Adaptive RML)、Techne</t>
  </si>
  <si>
    <t>domain specific model</t>
  </si>
  <si>
    <t>self-adaptive systems</t>
  </si>
  <si>
    <t>propose a modeling language, called Adaptive RML, for the representation of early requirements for Self-adaptive systems (SAS).</t>
  </si>
  <si>
    <t>S023</t>
  </si>
  <si>
    <t>Pimentel, João; Lucena, Márcia; Castro, Jaelson; Silva, Carla; Santos, Emanuel; Alencar, Fernanda</t>
  </si>
  <si>
    <t>i*、Acme</t>
  </si>
  <si>
    <t>model transformation</t>
  </si>
  <si>
    <t>propose a Strategy for Transition between Requirements and Architectural Models for Adaptive systems (STREAM-A)</t>
  </si>
  <si>
    <t>S024</t>
  </si>
  <si>
    <t>Conference on Systems Engineering Research</t>
  </si>
  <si>
    <t>Schneider, Florian; Naughton, Helmut; Berenbach, Brian</t>
  </si>
  <si>
    <t>Requirements Engineering and Full Lifecycle Integration</t>
  </si>
  <si>
    <t>URML、UML、SysML</t>
  </si>
  <si>
    <t>propose a new modeling language (referred to as the Unified Requirements Modeling Language)</t>
  </si>
  <si>
    <t>S025</t>
  </si>
  <si>
    <t>Software Engineering and Knowledge Engineering: Theory and Practice</t>
  </si>
  <si>
    <t>Wan, Li; Huang, Bo; Ling, Xiang; Wu, Guoqing</t>
  </si>
  <si>
    <t>BRM</t>
  </si>
  <si>
    <t>behavior-based requirements modeling</t>
  </si>
  <si>
    <t>propose a divide and conquer modeling method – Behavior based Requirements Modeling method (BRM), to modeling behaviors of software system.</t>
  </si>
  <si>
    <t>S026</t>
  </si>
  <si>
    <t>2012 20th IEEE International Requirements Engineering Conference (RE)</t>
  </si>
  <si>
    <t>S. Supakkul; L. Chung</t>
  </si>
  <si>
    <t>Requirements Modeling Approach (Tools)</t>
  </si>
  <si>
    <t>RE-Tools\NFR、i*、KAOS、UML</t>
  </si>
  <si>
    <t>modeling tools</t>
  </si>
  <si>
    <t>developed a multi-notational requirements modeling toolkit (RE-Tools), supporting many leading requirements modeling notations</t>
  </si>
  <si>
    <t>S027</t>
  </si>
  <si>
    <t>2012 Eighth International Conference on the Quality of Information and Communications Technology</t>
  </si>
  <si>
    <t>R. Monteiro; J. Araújo; V. Amaral; M. Goulão; P. Patrício</t>
  </si>
  <si>
    <t>i*、KAOS</t>
  </si>
  <si>
    <t>S028</t>
  </si>
  <si>
    <t>2012 34th International Conference on Software Engineering (ICSE)</t>
  </si>
  <si>
    <t>E. -V. Chioaşcă</t>
  </si>
  <si>
    <t>OSM、ML、text mining</t>
  </si>
  <si>
    <t>propose a novel approach which uses high abstraction requirements models in the form of Object System Models (OSMs) as targets for the transformation of natural language specifications in conjunction with appropriate text mining and machine learning techniques.</t>
  </si>
  <si>
    <t>S029</t>
  </si>
  <si>
    <t>D. Wüest; N. Seyff; M. Glinz</t>
  </si>
  <si>
    <t>Flexisketch</t>
  </si>
  <si>
    <t>developed the FlexiSketch tool prototype which combines support for free-form sketching with lightweight metamodeling capabilities.</t>
  </si>
  <si>
    <t>S030</t>
  </si>
  <si>
    <t>In this paper we show how the Property-Based Requirements (PBR) theory can be used to fully integrate Requirements Engineering (RE) into a Model-Based Systems Engineering (MBSE) method using OMG UML and its SysML profile. The objective is to avoid “in-parallel” management of two distinct expressions of the same specification (or design): once in a set of textual requirements and once in a model, which must be maintained to be consistent. This is achieved by the identification, in common modeling concepts, of Requirement Tracker Artifacts (RTA) that match the pattern defined by the Property-Based Requirement theory. An illustration is provided with both the UML and SysML modeling language. We also outline how relationships defined “by construction” in the model can be exploited to carry out requirements management activities without addition of dedicated and redundant data. © 2011 Wiley Periodicals, Inc.</t>
  </si>
  <si>
    <t>Wiley</t>
  </si>
  <si>
    <t>Systems Engineering</t>
  </si>
  <si>
    <t>Bernard, Yves</t>
  </si>
  <si>
    <t>OMG UML、SysML</t>
  </si>
  <si>
    <t>propose an approach to avoid “in-parallel” management of two distinct expressions of the same specification (or design) based on the Property-Based Requirements (PBR) using OMG UML and its SysML profile.</t>
  </si>
  <si>
    <t>S031</t>
  </si>
  <si>
    <t>2012 17th International Conference on Computer Games (CGAMES)</t>
  </si>
  <si>
    <t>K. M. L. Cooper; C. S. Longstreet</t>
  </si>
  <si>
    <t>UML、SimSYS</t>
  </si>
  <si>
    <t>educational games</t>
  </si>
  <si>
    <t>present our approach for modeling serious educational games, using tailored UML use cases (visual UML diagram and detailed tabular specifications).</t>
  </si>
  <si>
    <t>S032</t>
  </si>
  <si>
    <t>Teruel, Miguel A.; Navarro, Elena; López-Jaquero, Víctor; Montero, Francisco; Jaen, Javier; González, Pascual</t>
  </si>
  <si>
    <t>i*、CSRML</t>
  </si>
  <si>
    <t>comprehensibility evaluation</t>
  </si>
  <si>
    <t>collaborative systems</t>
  </si>
  <si>
    <t>performed a family of experiments to analyze the understandability of Requirements Engineering languages for CSCW systems</t>
  </si>
  <si>
    <t>S033</t>
  </si>
  <si>
    <t>International Journal of Human-Computer Studies</t>
  </si>
  <si>
    <t>Wang, Ye; Zhao, Liping; Wang, Xinyu; Yang, Xiaohu; Supakkul, Sam</t>
  </si>
  <si>
    <t>pattern language</t>
  </si>
  <si>
    <t>model transformation（scenario to model）</t>
  </si>
  <si>
    <t>presents a pattern language as means of connection between scenarios and their target models.</t>
  </si>
  <si>
    <t>S034</t>
  </si>
  <si>
    <t>Finland</t>
  </si>
  <si>
    <t>2013 IEEE International Systems Conference (SysCon)</t>
  </si>
  <si>
    <t>S. Nonsiri; E. Coatanea; M. Bakhouya; F. Mokammel</t>
  </si>
  <si>
    <t>requirement change</t>
  </si>
  <si>
    <t>proposed a framework for requirements change predication</t>
  </si>
  <si>
    <t>S035</t>
  </si>
  <si>
    <t>Science China Press</t>
  </si>
  <si>
    <t>Science China Information Sciences</t>
  </si>
  <si>
    <t>Zhang, Wei; Yi, Li; Zhao, HaiYan; Jin, Zhi</t>
  </si>
  <si>
    <t>web-enabled collective intelligence</t>
  </si>
  <si>
    <t>present an exploratory approach to the requirements elicitation and evolution problem of Internetware applications</t>
  </si>
  <si>
    <t>S036</t>
  </si>
  <si>
    <t>Computers &amp; Electrical Engineering</t>
  </si>
  <si>
    <t>Baker, Thar; Mackay, Michael; Randles, Martin; Taleb-Bendiab, Azzelarabe</t>
  </si>
  <si>
    <t>Neptune language</t>
  </si>
  <si>
    <t>coummunication systems</t>
  </si>
  <si>
    <t>defined and developed a novel requirements modelling process referred to as Provision, Assurance and Auditing, and an associated framework</t>
  </si>
  <si>
    <t>S037</t>
  </si>
  <si>
    <t>2013 21st IEEE International Requirements Engineering Conference (RE)</t>
  </si>
  <si>
    <t>Teufl, Sabine; Mou, Dongyue; Ratiu, Daniel</t>
  </si>
  <si>
    <t>MIRA</t>
  </si>
  <si>
    <t>developed the research tool MIRA to provide an infrastructure for the tool-based evaluation of the usage of models in the field of requirements engineering.</t>
  </si>
  <si>
    <t>S038</t>
  </si>
  <si>
    <t>Israel</t>
  </si>
  <si>
    <t>Hadar, Irit; Reinhartz-Berger, Iris; Kuflik, Tsvi; Perini, Anna; Ricca, Filippo; Susi, Angelo</t>
  </si>
  <si>
    <t>Use Case、Tropos</t>
  </si>
  <si>
    <t>compare the comprehensibility of requirements models expressed in two visual modeling languages: Use Case, which is scenario-based, and Tropos, which exploits goal-oriented modeling.</t>
  </si>
  <si>
    <t>S039</t>
  </si>
  <si>
    <t>2014 IEEE 4th International Model-Driven Requirements Engineering Workshop (MoDRE)</t>
  </si>
  <si>
    <t>F. Wanderley; A. Silva; J. Araujo; D. S. Silveira</t>
  </si>
  <si>
    <t>DSL、mind maps</t>
  </si>
  <si>
    <t>presents the SnapMind framework to make the requirements modelling process more user-centered, through the definition of a visual requirements language, based on mind maps, model-driven and domain specific language techniques.</t>
  </si>
  <si>
    <t>S040</t>
  </si>
  <si>
    <t>Information Systems</t>
  </si>
  <si>
    <t>Ernst, Neil A.; Borgida, Alexander; Jureta, Ivan J.; Mylopoulos, John</t>
  </si>
  <si>
    <t>Techne</t>
  </si>
  <si>
    <t>agile requirement engineering</t>
  </si>
  <si>
    <t>propose a framework, RE-KOMBINE, which is based on a propositional language for requirements modeling called Techne.</t>
  </si>
  <si>
    <t>S041</t>
  </si>
  <si>
    <t>Indonesia</t>
  </si>
  <si>
    <t>2014 International Conference on Data and Software Engineering (ICODSE)</t>
  </si>
  <si>
    <t>H. Eridaputra; B. Hendradjaya; W. Danar Sunindyo</t>
  </si>
  <si>
    <t>Big Data Application</t>
  </si>
  <si>
    <t>proposed a generic requirement model for Big Data application which offer the use of i× Framework and Knowledge Acquisition automated System (KAOS)</t>
  </si>
  <si>
    <t>S042</t>
  </si>
  <si>
    <t>M. Fockel; J. Holtmann</t>
  </si>
  <si>
    <t>embedded systems</t>
  </si>
  <si>
    <t>proposes a model-driven RE methodology that makes use of requirements models along with a controlled natural language.</t>
  </si>
  <si>
    <t>S043</t>
  </si>
  <si>
    <t>2014 IEEE Aerospace Conference</t>
  </si>
  <si>
    <t>B. London; P. Miotto</t>
  </si>
  <si>
    <t>model transformation（requirements generation）</t>
  </si>
  <si>
    <t>describes a capability that uses SysML structure and behavior diagrams to automatically generate textual requirements.</t>
  </si>
  <si>
    <t>S044</t>
  </si>
  <si>
    <t>Sannier, Nicolas; Baudry, Benoit</t>
  </si>
  <si>
    <t>Domain Specific Model (Connexion（metamodel）)</t>
  </si>
  <si>
    <t>security requirement</t>
  </si>
  <si>
    <t>safety-critical systems</t>
  </si>
  <si>
    <t>present the Connexion metamodel that provides a canvas for the definition and capitalization of the nuclear regulatory requirements domain，and an hybrid MDE/IR(Information Retrieval)-based approach, named INCREMENT, for acquiring, modeling and analyzing these regulatory requirements.</t>
  </si>
  <si>
    <t>S045</t>
  </si>
  <si>
    <t>Goknil, Arda; Kurtev, Ivan; van den Berg, Klaas; Spijkerman, Wietze</t>
  </si>
  <si>
    <t>a metamodel、formalization</t>
  </si>
  <si>
    <t>provided the classification of requirements changes based on structure of a textual requirement with formal semantics.</t>
  </si>
  <si>
    <t>S046</t>
  </si>
  <si>
    <t>Denmark</t>
  </si>
  <si>
    <t>Special Issue on Automated Verification of Critical Systems (AVoCS’11)</t>
  </si>
  <si>
    <t>Hallerstede, Stefan; Jastram, Michael; Ladenberger, Lukas</t>
  </si>
  <si>
    <t>formal and informal reasoning、formalization</t>
  </si>
  <si>
    <t>proposed an approach to requirements tracing that delivers the necessary connection that links the reasoning to the system description.</t>
  </si>
  <si>
    <t>S047</t>
  </si>
  <si>
    <t>2014 IEEE International Advance Computing Conference (IACC)</t>
  </si>
  <si>
    <t>S. Mohite; R. Phalnikar; M. Joshi; S. D. Joshi; S. Jadhav</t>
  </si>
  <si>
    <t>UML</t>
  </si>
  <si>
    <t>proposed an approach for requirement and interaction analysis using aspect-oriented modeling</t>
  </si>
  <si>
    <t>S048</t>
  </si>
  <si>
    <t>Brace, William; Ekman, Kalevi</t>
  </si>
  <si>
    <t>CORAMOD、SysML</t>
  </si>
  <si>
    <t>presents the checklist-oriented requirements analysis modelling (CORAMOD) approach.</t>
  </si>
  <si>
    <t>S049</t>
  </si>
  <si>
    <t>Applied Geomatics</t>
  </si>
  <si>
    <t>Butt, Muhammad A.; Li, Songnian</t>
  </si>
  <si>
    <t>UML、GIS、Web</t>
  </si>
  <si>
    <t>PPGIS</t>
  </si>
  <si>
    <t>present techniques for requirement elicitation, tailored for specific needs of synchronous collaborative PPGIS, using the unified modeling language (UML) Web-based Engineering (UWE) framework as the baseline</t>
  </si>
  <si>
    <t>S050</t>
  </si>
  <si>
    <t>Tunisie</t>
  </si>
  <si>
    <t>Proceedings of the 2015 International Conference on Soft Computing and Software Engineering (SCSE'15)</t>
  </si>
  <si>
    <t>Rjaibi, Neila; Rabai, Latifa Ben Arfa</t>
  </si>
  <si>
    <t>define and propose a novel and holistic security requirement taxonomy at two levels of abstraction that incorporates 13 basic and standard requirements and then refined in layers into 31 security requirements sub-factors</t>
  </si>
  <si>
    <t>S051</t>
  </si>
  <si>
    <t>Advances in Conceptual Modeling</t>
  </si>
  <si>
    <t>Nasiri, Azadeh; Wrembel, Robert; Zimányi, Esteban</t>
  </si>
  <si>
    <t>i*、UML、KPI</t>
  </si>
  <si>
    <t>Data Warehouse</t>
  </si>
  <si>
    <t>propose a RE method, covering both the static and the dynamic part of a Data Warehouse (DW) in an integrated manner.</t>
  </si>
  <si>
    <t>S052</t>
  </si>
  <si>
    <t>Iran</t>
  </si>
  <si>
    <t>Automated Software Engineering</t>
  </si>
  <si>
    <t>Paydar, Samad; Kahani, Mohsen</t>
  </si>
  <si>
    <t>UML、Web</t>
  </si>
  <si>
    <t>model reuse</t>
  </si>
  <si>
    <t>Web Engineering</t>
  </si>
  <si>
    <t>proposed a semantic web enabled approach for reusing models, specifically functional requirements models.</t>
  </si>
  <si>
    <t>S053</t>
  </si>
  <si>
    <t>3rd International Conference on Information Technology and Quantitative Management, ITQM 2015</t>
  </si>
  <si>
    <t>Liao, Yongqiang; Yang, Chunyan; Li, Weihua</t>
  </si>
  <si>
    <t>Kano requirement model</t>
  </si>
  <si>
    <t>uses Kano requirement model to find essential demands, clarify customers' demands, and utilizes extension innovation methods to establish models for the products, which have different characteristics</t>
  </si>
  <si>
    <t>S054</t>
  </si>
  <si>
    <t>CIRP 25th Design Conference Innovative Product Creation</t>
  </si>
  <si>
    <t>Wei, Wei.; Liu, Ang; Lu, Stephen C.-Y.; Wuest, Thorsten</t>
  </si>
  <si>
    <t>SML</t>
  </si>
  <si>
    <t>presents a product requirement modeling method based on configuration design</t>
  </si>
  <si>
    <t>S055</t>
  </si>
  <si>
    <t>Research on conceptual modeling</t>
  </si>
  <si>
    <t>Paja, Elda; Dalpiaz, Fabiano; Giorgini, Paolo</t>
  </si>
  <si>
    <t>STS-ml</t>
  </si>
  <si>
    <t>propose the STS approach for modelling and reasoning about security requirements.</t>
  </si>
  <si>
    <t>S056</t>
  </si>
  <si>
    <t>15th IFAC Symposium onInformation Control Problems inManufacturing</t>
  </si>
  <si>
    <t>Teufl, Sabine; Hackenberg, Georg</t>
  </si>
  <si>
    <t>automation systems</t>
  </si>
  <si>
    <t>proposes a model-based approach that classifies the elements of a requirements specification according to their contents and based on the classification preselects automatically candidate elements of the requirements specification that are possibly affected by the change.</t>
  </si>
  <si>
    <t>S057</t>
  </si>
  <si>
    <t>IEEE Systems Journal</t>
  </si>
  <si>
    <t>Holt, Jon; Perry, Simon; Payne, Richard; Bryans, Jeremy; Hallerstede, Stefan; Hansen, Finn Overgaard</t>
  </si>
  <si>
    <t>MBSE</t>
  </si>
  <si>
    <t>system of systems</t>
  </si>
  <si>
    <t>presents a model-based approach to requirements engineering for System of Systems (SoSs).</t>
  </si>
  <si>
    <t>S058</t>
  </si>
  <si>
    <t>Australia</t>
  </si>
  <si>
    <t>Miller, Tim; Pedell, Sonja; Lopez-Lorca, Antonio A.; Mendoza, Antonette; Sterling, Leon; Keirnan, Alen</t>
  </si>
  <si>
    <t>emotion-led modeling</t>
  </si>
  <si>
    <t>include emotions in requirements models using emotional goals and evaluate these models both with a controlled user study, and on a case study of emergency systems for older people.</t>
  </si>
  <si>
    <t>S059</t>
  </si>
  <si>
    <t>Thailand</t>
  </si>
  <si>
    <t>2016 7th IEEE International Conference on Software Engineering and Service Science (ICSESS)</t>
  </si>
  <si>
    <t>J. Tomyim; A. Pohthong</t>
  </si>
  <si>
    <t>proposed a requirements change management model for object-oriented methodology with UML</t>
  </si>
  <si>
    <t>S060</t>
  </si>
  <si>
    <t>2016 IEEE 24th International Requirements Engineering Conference (RE)</t>
  </si>
  <si>
    <t>Darimont, Robert; Zhao, Wei; Ponsard, Christophe; Michot, Arnaud</t>
  </si>
  <si>
    <t>Web</t>
  </si>
  <si>
    <t>present a modular requirements engineering framework for Web-based toolchain integration</t>
  </si>
  <si>
    <t>S061</t>
  </si>
  <si>
    <t>Software Engineering and Methodology for Emerging Domains</t>
  </si>
  <si>
    <t>Shan, Jin-Hui; Zhao, Hai-Yan; Wang, Jin-Bo; Wang, Rui-Xue; Ruan, Cheng-Lin; Yao, Zhe-Xi</t>
  </si>
  <si>
    <t>TASM</t>
  </si>
  <si>
    <t>propose an extended TASM-based requirements modeling approach for real-time embedded software to identify the parallel and hierarchical components, and describe the functional and non-functional requirements of the software.</t>
  </si>
  <si>
    <t>S062</t>
  </si>
  <si>
    <t>Lopez-Lorca, Antonio A.; Beydoun, Ghassan; Valencia-Garcia, Rafael; Martinez-Bejar, Rodrigo</t>
  </si>
  <si>
    <t>mutil-agent systems</t>
  </si>
  <si>
    <t>presents an ontology driven validation process to support requirement analysis of multi agent systems (MAS) models.</t>
  </si>
  <si>
    <t>S063</t>
  </si>
  <si>
    <t>Enterprise, Business-Process and Information Systems Modeling</t>
  </si>
  <si>
    <t>Shei, Shaun; Mouratidis, Haralambos; Delaney, Aidan</t>
  </si>
  <si>
    <t>Secure Tropos</t>
  </si>
  <si>
    <t>cloud computing environment</t>
  </si>
  <si>
    <t>presents a cloud-enhanced modelling language for capturing and describing cloud computing environments</t>
  </si>
  <si>
    <t>S064</t>
  </si>
  <si>
    <t>Computer Languages, Systems &amp; Structures</t>
  </si>
  <si>
    <t>Ashamalla, Amir; Beydoun, Ghassan; Low, Graham</t>
  </si>
  <si>
    <t>metamodel</t>
  </si>
  <si>
    <t>real-time requirements</t>
  </si>
  <si>
    <t>presents the synthesis of a real-time metamodel to support requirements analysis of a multi-agent system (MAS)</t>
  </si>
  <si>
    <t>S065</t>
  </si>
  <si>
    <t>2017 IEEE Aerospace Conference</t>
  </si>
  <si>
    <t>Reza, Hassan; Sehgal, Rashmi; Straub, Jeremy; Alexander, Nicholas</t>
  </si>
  <si>
    <t>present the design of a requirement engineering tool that can be used to speed up the requirement elicitation and specification of system-wide qualities such as availability, performance, and security based on the use of quality attribute scenarios.</t>
  </si>
  <si>
    <t>S066</t>
  </si>
  <si>
    <t>Chinese Journal of Mechanical Engineering</t>
  </si>
  <si>
    <t>Ma, Xiao-Jie; Ding, Guo-Fu; Qin, Sheng-Feng; Li, Rong; Yan, Kai-Yin; Xiao, Shou-Ne; Yang, Guang-Wu</t>
  </si>
  <si>
    <t>provided a new synthesized multidisciplinary customer requirements modeling method for obtaining and describing the common understanding of customer requirements (CRs)</t>
  </si>
  <si>
    <t>S067</t>
  </si>
  <si>
    <t>Recent Advances on Soft Computing and Data Mining</t>
  </si>
  <si>
    <t>Aradea; Supriana, Iping; Surendro, Kridanto; Darmawan, Irfan</t>
  </si>
  <si>
    <t>self-adaptation、GORE</t>
  </si>
  <si>
    <t>discusses the integration of a feedback loop as a strategy of self-adaptation and a goal-based approach as an approach to requirements, with the aim of obtaining a new model, which has the advantages of both.</t>
  </si>
  <si>
    <t>S068</t>
  </si>
  <si>
    <t>Complex Systems Engineering and Development Proceedings of the 27th CIRP Design Conference Cranfield University, UK 10th – 12th May 2017</t>
  </si>
  <si>
    <t>Scherer, Helmut; Albers, Albert; Bursac, Nikola</t>
  </si>
  <si>
    <t>modular product developemnt</t>
  </si>
  <si>
    <t>present an approach of Model Based Systems Engineering to handle the complexity of modular product</t>
  </si>
  <si>
    <t>S069</t>
  </si>
  <si>
    <t>Ecuador</t>
  </si>
  <si>
    <t>2017 IEEE 25th International Requirements Engineering Conference (RE)</t>
  </si>
  <si>
    <t>M. F. Granda; N. Condori-Fernández; T. E. J. Vos; O. Pastor</t>
  </si>
  <si>
    <t>CoSTest、UML</t>
  </si>
  <si>
    <t>present CoSTest, a tool that supports the validation of Conceptual Schemas by using testing.</t>
  </si>
  <si>
    <t>S070</t>
  </si>
  <si>
    <t>2017 IEEE International Systems Engineering Symposium (ISSE)</t>
  </si>
  <si>
    <t>Mordecai, Yaniv; Dori, Dov</t>
  </si>
  <si>
    <t>OPM</t>
  </si>
  <si>
    <t>propose a model-based requirement engineering (MBRE) approach to facilitate the transition from stakeholder requirements (SHRs) to specifying system requirements (SysReqs), and from SysReqs to system architecture specification.</t>
  </si>
  <si>
    <t>S071</t>
  </si>
  <si>
    <t>Nasiri, Azadeh; Ahmed, Waqas; Wrembel, Robert; Zimányi, Esteban</t>
  </si>
  <si>
    <t>UML、KPI</t>
  </si>
  <si>
    <t>present a model-based Requirement Engineering (RE) framework for Data Warehouses (DWs)</t>
  </si>
  <si>
    <t>S072</t>
  </si>
  <si>
    <t>MDPI</t>
  </si>
  <si>
    <t>Applied Sciences</t>
  </si>
  <si>
    <t>Holder, Kevin; Zech, Andreas; Ramsaier, Manuel; Stetter, Ralf; Niedermeier, Hans-Peter; Rudolph, Stephan; Till, Markus</t>
  </si>
  <si>
    <t>gear systems</t>
  </si>
  <si>
    <t>present a method in order to combine the advantages of a conscious requirements management process and graph-based design languages.</t>
  </si>
  <si>
    <t>S073</t>
  </si>
  <si>
    <t>Netherlands</t>
  </si>
  <si>
    <t>2017 IEEE International Conference on Software Architecture Workshops (ICSAW)</t>
  </si>
  <si>
    <t>Kannan, S. Manoj; Suri, Kunal; Cadavid, Juan; Barosan, Ion; Van Den Brand, Mark; Alferez, Mauricio; Gerard, Sebastien</t>
  </si>
  <si>
    <t>automotive requirement engineering</t>
  </si>
  <si>
    <t>bridge the gap between current Automotive MES and industry standards by following a model-based requirements engineering approach along with a gap analysis process.</t>
  </si>
  <si>
    <t>S074</t>
  </si>
  <si>
    <t>Software &amp; Systems Modeling</t>
  </si>
  <si>
    <t>Ribeiro, Fabíola Gonçalves C.; Pereira, Carlos E.; Rettberg, Achim; Soares, Michel S.</t>
  </si>
  <si>
    <t>UML、SysML、MARTE</t>
  </si>
  <si>
    <t>explores the combined use of UML and its profiles SysML and MARTE for modeling hardware and software requirements of real-time systems (RTS)</t>
  </si>
  <si>
    <t>S075</t>
  </si>
  <si>
    <t>Greece</t>
  </si>
  <si>
    <t>2018 13th Annual Conference on System of Systems Engineering (SoSE)</t>
  </si>
  <si>
    <t>C. Kotronis; M. Nikolaidou; G. Dimitrakopoulos; D. Anagnostopoulos; A. Amira; F. Bensaali</t>
  </si>
  <si>
    <t>critical requirements</t>
  </si>
  <si>
    <t>IoT e-Health systems</t>
  </si>
  <si>
    <t>explore the application of model-based design, using the Systems Modeling Language (SysML), of IoT e-Health systems, emphasizing criticality requirements.</t>
  </si>
  <si>
    <t>S076</t>
  </si>
  <si>
    <t>29th CIRP Design Conference 2019, 08-10 May 2019, Póvoa de Varzim, Portgal</t>
  </si>
  <si>
    <t>Inkermann, D.; Huth, T.; Vietor, T.; Grewe, A.; Knieke, C.; Rausch, A.</t>
  </si>
  <si>
    <t>UML、SysML</t>
  </si>
  <si>
    <t>presents a concept for model-based requirement engineering supporting to gather and provide requirements needed for different views within the automotive development process.</t>
  </si>
  <si>
    <t>S077</t>
  </si>
  <si>
    <t>Russia</t>
  </si>
  <si>
    <t>Perspectives of System Informatics</t>
  </si>
  <si>
    <t>Murtazina, Marina; Avdeenko, Tatiana</t>
  </si>
  <si>
    <t>ontological method（OWL）</t>
  </si>
  <si>
    <t>presents an approach to the agile requirements engineering based on the OWL ontologies.</t>
  </si>
  <si>
    <t>S078</t>
  </si>
  <si>
    <t>Computational Science and Its Applications – ICCSA 2019</t>
  </si>
  <si>
    <t>Arruda, Danilo; Marinho, Matheus; Souza, Eric; Wanderley, Fernando</t>
  </si>
  <si>
    <t>KAOS、NLP、GORE</t>
  </si>
  <si>
    <t>describe a way to support requirements elicitation for novice requirements engineers through the use of NLP within a chatbot.</t>
  </si>
  <si>
    <t>S079</t>
  </si>
  <si>
    <t>Saudi Arabia</t>
  </si>
  <si>
    <t>Alkaf, Hasan; Hassine, Jameleddine; Binalialhag, Taha; Amyot, Daniel</t>
  </si>
  <si>
    <t>URN、UCM、GRL</t>
  </si>
  <si>
    <t>presents a new Change Impact Analysis (CIA) approach for User Requirements Notation (URN) models.</t>
  </si>
  <si>
    <t>S080</t>
  </si>
  <si>
    <t>13th IFAC Workshop on Intelligent Manufacturing Systems IMS 2019</t>
  </si>
  <si>
    <t>Silva, Javier Martinez; Javales, Raul; Silva, José Reinaldo</t>
  </si>
  <si>
    <t>Petri Nets、GORE、KAOS</t>
  </si>
  <si>
    <t>manufacturing systems in industry4.0</t>
  </si>
  <si>
    <t>presents a method and a framework to put together goal-oriented requirements and Petri Nets</t>
  </si>
  <si>
    <t>S081</t>
  </si>
  <si>
    <t>Macau</t>
  </si>
  <si>
    <t>2019 IEEE/ACM 41st International Conference on Software Engineering: Companion Proceedings (ICSE-Companion)</t>
  </si>
  <si>
    <t>Y. Yang; X. Li; Z. Liu; W. Ke</t>
  </si>
  <si>
    <t>RM2PT、OCL</t>
  </si>
  <si>
    <t>develop RM2PT: a tool for generating prototypes from requirements models automatically.</t>
  </si>
  <si>
    <t>S082</t>
  </si>
  <si>
    <t>Bahrain</t>
  </si>
  <si>
    <t>2019 8th International Conference on Modeling Simulation and Applied Optimization (ICMSAO)</t>
  </si>
  <si>
    <t>Z. A. Hamza; M. Hammad</t>
  </si>
  <si>
    <t>UML、NLP</t>
  </si>
  <si>
    <t>model transformation（model generation）</t>
  </si>
  <si>
    <t>provides an approach to generate the UML use case diagrams from the requirements text using natural language processing.</t>
  </si>
  <si>
    <t>S083</t>
  </si>
  <si>
    <t>2019 1st International Conference on Cybernetics and Intelligent System (ICORIS)</t>
  </si>
  <si>
    <t>Y. Priyadi; A. Djunaidy; D. Siahaan</t>
  </si>
  <si>
    <t>requirement dependency graph</t>
  </si>
  <si>
    <t>proposes an approach to model the requirement dependency graph for a software requirements specification document.</t>
  </si>
  <si>
    <t>S084</t>
  </si>
  <si>
    <t>Systems</t>
  </si>
  <si>
    <t>Salado, Alejandro; Wach, Paul</t>
  </si>
  <si>
    <t>presents an approach to construct true model-based requirements in SysML.</t>
  </si>
  <si>
    <t>S085</t>
  </si>
  <si>
    <t>Wang, Ye; Zhao, Liping</t>
  </si>
  <si>
    <t>UML、i*</t>
  </si>
  <si>
    <t>proposes an approach for eliciting user requirements for e-collaboration systems</t>
  </si>
  <si>
    <t>S086</t>
  </si>
  <si>
    <t>Sweden</t>
  </si>
  <si>
    <t>Liebel, Grischa; Tichy, Matthias; Knauss, Eric</t>
  </si>
  <si>
    <t>analyze the use, potential, and showstoppers of models in automotive requirements engineering by a multiple-case study with two automotive companies, collecting interview data from 14 practitioners.</t>
  </si>
  <si>
    <t>S087</t>
  </si>
  <si>
    <t>Software and Systems Modeling</t>
  </si>
  <si>
    <t>Mouratidis, Haralambos; Shei, Shaun; Delaney, Aidan</t>
  </si>
  <si>
    <t>DSL</t>
  </si>
  <si>
    <t>presents a novel security modelling language and a set of original analysis techniques, for capturing and analysing security requirements for cloud computing environments.</t>
  </si>
  <si>
    <t>S088</t>
  </si>
  <si>
    <t>The Practice of Enterprise Modeling</t>
  </si>
  <si>
    <t>Piras, Luca; Calabrese, Federico; Giorgini, Paolo</t>
  </si>
  <si>
    <t>Agon</t>
  </si>
  <si>
    <t>propose an approach for making modeling tools more effective in engaging the engineer in performing RE in a tool-based way, receiving adequate feedback and staying motivated to use modeling tools.</t>
  </si>
  <si>
    <t>S089</t>
  </si>
  <si>
    <t>Research Challenges in Information Science</t>
  </si>
  <si>
    <t>Veloso, Roberto; Araujo, João; Rodrigues, Armanda</t>
  </si>
  <si>
    <t>DSL(WebGIS IRML)、MDD</t>
  </si>
  <si>
    <t>WebGIS</t>
  </si>
  <si>
    <t>present the WebGIS Interface Requirements Modeling Language (WebGIS IRML), developed to support communication between stakeholders and developers</t>
  </si>
  <si>
    <t>S090</t>
  </si>
  <si>
    <t>Benfell, Adrian</t>
  </si>
  <si>
    <t>Tacit Knowledge、UML</t>
  </si>
  <si>
    <t>functional requirements</t>
  </si>
  <si>
    <t>promote to the discussion linked to the challenge of capturing and modeling tacit knowledge throughout software development projects.</t>
  </si>
  <si>
    <t>S091</t>
  </si>
  <si>
    <t>Madagascar</t>
  </si>
  <si>
    <t>The 12th International Conference on Ambient Systems, Networks and Technologies (ANT) / The 4th International Conference on Emerging Data and Industry 4.0 (EDI40) / Affiliated Workshops</t>
  </si>
  <si>
    <t>Andrianjaka, Rapatsalahy Miary; Hajarisena, Razafimahatratra; Mihaela, Ilie; Thomas, Mahatody; Sorin, Ilie; Raft, Razafindrakoto Nicolas</t>
  </si>
  <si>
    <t>ReLEL、ATL</t>
  </si>
  <si>
    <t>model transformation（M2M、M2T）</t>
  </si>
  <si>
    <t>deals with the automatic generation of SOAP web services that represent the software aspect of the Praxeme methodology from the intentional aspect specified by the ReLEL requirements model.</t>
  </si>
  <si>
    <t>S092</t>
  </si>
  <si>
    <t>Austria</t>
  </si>
  <si>
    <t>2021 26th IEEE International Conference on Emerging Technologies and Factory Automation (ETFA )</t>
  </si>
  <si>
    <t>Binder, Christoph; Polanec, Katharina; Brankovic, Boris; Neureiter, Christian; Lastro, Goran; Lüder, Arndt</t>
  </si>
  <si>
    <t>formalization、SysML</t>
  </si>
  <si>
    <t>complex systems in industry4.0</t>
  </si>
  <si>
    <t>introduces an approach for eliciting, specifying and managing requirements according to a particular process and aligned to architectural standards.</t>
  </si>
  <si>
    <t>S093</t>
  </si>
  <si>
    <t>2021 IEEE 29th International Requirements Engineering Conference (RE)</t>
  </si>
  <si>
    <t>Naouar, Douraïd; Hachem, Jamal El; Voirin, Jean-Luc; Foisil, Jacques; Kermarrec, Yvon</t>
  </si>
  <si>
    <t>MBCA（model-based cybersecurity assessment）、SysML</t>
  </si>
  <si>
    <t>risk assessment</t>
  </si>
  <si>
    <t>propose a Model-based Cyberisk Assessment (MBCA) method</t>
  </si>
  <si>
    <t>S094</t>
  </si>
  <si>
    <t>Sadovykh, Andrey; Truscan, Dragos; Bruneliere, Hugo</t>
  </si>
  <si>
    <t>report on our 5-year’s practical experience of designing, developing and then deploying a Model-based Requirements Engineering (MBRE) approach and language in the context of three different large European collaborative projects providing complex software solutions.</t>
  </si>
  <si>
    <t>S095</t>
  </si>
  <si>
    <t>2022 IEEE/ACM 44th International Conference on Software Engineering: Companion Proceedings (ICSE-Companion)</t>
  </si>
  <si>
    <t>T. Bao; J. Yang; Y. Yang; Y. Yin</t>
  </si>
  <si>
    <t>RM2Doc、UML、OCL</t>
  </si>
  <si>
    <t>propose a CASE tool named RM2Doc, which can automatically generate ISO/IEC/IEEE 29148-2018 conformed requirements documents from UML models without any templates.</t>
  </si>
  <si>
    <t>S096</t>
  </si>
  <si>
    <t>32nd CIRP Design Conference (CIRP Design 2022) - Design in a changing world</t>
  </si>
  <si>
    <t>Windisch, Emily; Mandel, Constantin; Rapp, Simon; Bursac, Nikola; Albers, Albert</t>
  </si>
  <si>
    <t>mechatronic systems</t>
  </si>
  <si>
    <t>presented an approach providing activity-based views in conjunction with activity steps based on a consistent ontology for the description of product requirements and verification activities.</t>
  </si>
  <si>
    <t>S097</t>
  </si>
  <si>
    <t>Bouskela, Daniel; Falcone, Alberto; Garro, Alfredo; Jardin, Audrey; Otter, Martin; Thuy, Nguyen; Tundis, Andrea</t>
  </si>
  <si>
    <t>FORM-L（formalization）、Modelica language</t>
  </si>
  <si>
    <t>cyber-physical systems (CPSs)</t>
  </si>
  <si>
    <t>presents an integrated solution to formally define system requirements and automate their verification through simulation.</t>
  </si>
  <si>
    <t>S098</t>
  </si>
  <si>
    <t>Ye, Tong; Zhuang, Yi; Qiao, Gongzhe</t>
  </si>
  <si>
    <t>MBIPV、UML</t>
  </si>
  <si>
    <t>requirements violation detection</t>
  </si>
  <si>
    <t>presents MBIPV, a Model-Based approach for Identifying Privacy Violations from software requirements.</t>
  </si>
  <si>
    <t>S099</t>
  </si>
  <si>
    <t>Iceland</t>
  </si>
  <si>
    <t>Liebel, Grischa; Knauss, Eric</t>
  </si>
  <si>
    <t>conducted a case study investigating the application of requirements models at Ericsson AB, a Swedish telecommunications company.</t>
  </si>
  <si>
    <t>S100</t>
  </si>
  <si>
    <t>Yang, Yilong; Zeng, Bingjie; Gao, Juntao</t>
  </si>
  <si>
    <t>ML-enabled software systems</t>
  </si>
  <si>
    <t>propose a requirements model for ML-enabled software systems and a modeling process for this model based on an extension of UML.</t>
  </si>
  <si>
    <t>S101</t>
  </si>
  <si>
    <t>Advanced Engineering Informatics</t>
  </si>
  <si>
    <t>Ma, Yufeng; Dou, Yajie; Xu, Xiangqian; Jiang, Jiang; Yang, Kewei; Tan, Yuejin</t>
  </si>
  <si>
    <t>knowledge graph、GRA、KRR</t>
  </si>
  <si>
    <t>requirements analysis（ranking）</t>
  </si>
  <si>
    <t>general RE</t>
  </si>
  <si>
    <t>propose a multicriteria requirement ranking method based on uncertain knowledge representation and reasoning (KRR)</t>
  </si>
  <si>
    <t>S102</t>
  </si>
  <si>
    <t>18th IFAC Symposium on Information Control Problems in Manufacturing INCOM 2024</t>
  </si>
  <si>
    <t>Bacquet, Cyril; Marangé, Pascale; Bonjour, Éric; Kerbrat, Alain</t>
  </si>
  <si>
    <t>general SE</t>
  </si>
  <si>
    <t>presents a system requirements conceptual model with requirements writing patterns that enable the systems requirements modeling and V&amp;V, along with a comparative analysis with existing concepts in the literature.</t>
  </si>
  <si>
    <t>S103</t>
  </si>
  <si>
    <t>Enterprise Interoperability X: Enterprise Interoperability Through Connected Digital Twins</t>
  </si>
  <si>
    <t>Nowak-Meitinger, Anna M.; Mayer, Jan; Marde, Sanjana Kishor; Jochem, Roland</t>
  </si>
  <si>
    <t>software systems in industry4.0</t>
  </si>
  <si>
    <t>introduced a multi-step approach to elicit user requirements, define functional specification of software products</t>
  </si>
  <si>
    <t>S104</t>
  </si>
  <si>
    <t>Intelligent Systems and Applications</t>
  </si>
  <si>
    <t>Hu, Yanlin; Wang, Tiexin; Shi, Yize</t>
  </si>
  <si>
    <t>UML、RUCM</t>
  </si>
  <si>
    <t>model transformation（model to model）</t>
  </si>
  <si>
    <t>autonomous driving systems</t>
  </si>
  <si>
    <t>propose automatic model transformation approaches to promote the automatic analysis of autonomous driving scenario requirements</t>
  </si>
  <si>
    <t>S105</t>
  </si>
  <si>
    <t>Zhang, Yuanrong; Guo, Wei; Chang, Zhixing; Ma, Jian; Fu, Zhonglin; Wang, Lei; Shao, Hongyu</t>
  </si>
  <si>
    <t>NLP、MLP、FSP-Kano model</t>
  </si>
  <si>
    <t>general software engineering</t>
  </si>
  <si>
    <t>proposes a user requirement modeling and evolutionary analysis method based on review data, supporting the design upgrade of product attributes.</t>
  </si>
  <si>
    <t>S106</t>
  </si>
  <si>
    <t>Computers &amp; Industrial Engineering</t>
  </si>
  <si>
    <t>Feng, Yongbing; Gao, Guohua; Wang, Pengyu; Fu, Mengyu; Zhang, Zihua</t>
  </si>
  <si>
    <t>SVN、ARCADIA</t>
  </si>
  <si>
    <t>propose a construction method of the Stakeholder Value Networks Model (SVNM) based on Model-Based Systems Engineering (MBSE) from the perspective of model reusability, consistency and continuity</t>
  </si>
  <si>
    <t>S107</t>
  </si>
  <si>
    <t>2024 IEEE 32nd International Requirements Engineering Conference (RE)</t>
  </si>
  <si>
    <t>C. Mannari</t>
  </si>
  <si>
    <t>UML、i*、BPMN</t>
  </si>
  <si>
    <t>agriculture</t>
  </si>
  <si>
    <t>propose a method for process modelling in agricultural domains</t>
  </si>
  <si>
    <t>S108</t>
  </si>
  <si>
    <t>Science of Computer Programming</t>
  </si>
  <si>
    <t>Sadovykh, Andrey; Said, Bilal; Truscan, Dragos; Bruneliere, Hugo</t>
  </si>
  <si>
    <t>report on our 7 years of practical experience designing, developing, deploying, using, and evolving an iterative Model-based Requirements Engineering (MBRE) approach and language in the context of five large European collaborative projects providing complex software-intensive solutions.</t>
  </si>
  <si>
    <t>S109</t>
  </si>
  <si>
    <t>Yang, Peiye; Zhang, Li; Li, Qin; Gao, Xiang; Yang, Yilong</t>
  </si>
  <si>
    <t>UML、OCL</t>
  </si>
  <si>
    <t>propose an approach named OCLVerifier, which can automatically detect the requirements errors of Object Constraint Language (OCL), such as conflict, redundancy, and failure error.</t>
  </si>
  <si>
    <t>计数项:Item Type</t>
  </si>
  <si>
    <t>Publication Type</t>
  </si>
  <si>
    <t>Number of papers</t>
  </si>
  <si>
    <t>Conference</t>
  </si>
  <si>
    <t>Journal</t>
  </si>
  <si>
    <t>Workshop</t>
  </si>
  <si>
    <t>(空白)</t>
  </si>
  <si>
    <t>Chapter of Book</t>
  </si>
  <si>
    <t>总计</t>
  </si>
  <si>
    <t>计数项:Publication Year</t>
  </si>
  <si>
    <t>计数项:Publisher</t>
  </si>
  <si>
    <t>Other</t>
  </si>
  <si>
    <t>计数项:Publication Title</t>
  </si>
  <si>
    <t>RE:11</t>
  </si>
  <si>
    <t>MoDRE:3</t>
  </si>
  <si>
    <t>CIRP Design Conference:4</t>
  </si>
  <si>
    <t>IEEE Aerospace Conference:2</t>
  </si>
  <si>
    <t>SysCon:2</t>
  </si>
  <si>
    <t>ICSE:3</t>
  </si>
  <si>
    <t>Requirements Traceability 
and Management</t>
  </si>
  <si>
    <t>Requirements Modeling 
Approach</t>
  </si>
  <si>
    <t>Requirements Modeling 
Approach (Language)</t>
  </si>
  <si>
    <t>Requirements Verification 
and Validation</t>
  </si>
  <si>
    <t>Requirements Engineering 
and Full Lifecycle Integration</t>
  </si>
  <si>
    <t>Requirements Modeling 
Approach (Tools)</t>
  </si>
  <si>
    <t>geographic information system</t>
  </si>
  <si>
    <t>web engineering</t>
  </si>
  <si>
    <t>in industry4.0</t>
  </si>
  <si>
    <t>manufacturing systems</t>
  </si>
  <si>
    <t>cyber-physical systems</t>
  </si>
  <si>
    <t xml:space="preserve">ML-enabled </t>
  </si>
  <si>
    <t>计数项:Topic</t>
  </si>
  <si>
    <t>Technologies</t>
  </si>
  <si>
    <t>Learnability</t>
  </si>
  <si>
    <t>Expressiveness</t>
  </si>
  <si>
    <t>Collaboration</t>
  </si>
  <si>
    <t>Toolchain</t>
  </si>
  <si>
    <t>Scalability</t>
  </si>
  <si>
    <t>Cost &amp; Resources</t>
  </si>
  <si>
    <t>i*</t>
  </si>
  <si>
    <t>UML,DSL</t>
  </si>
  <si>
    <t>KAOS</t>
  </si>
  <si>
    <t>GORE</t>
  </si>
  <si>
    <t>OCL</t>
  </si>
  <si>
    <t>BPMN</t>
  </si>
  <si>
    <t>URN</t>
  </si>
  <si>
    <t>NFR</t>
  </si>
  <si>
    <t>Kano Model</t>
  </si>
  <si>
    <t>Tropos</t>
  </si>
  <si>
    <t>Score</t>
  </si>
  <si>
    <t>计数项:Score</t>
  </si>
  <si>
    <t>Context</t>
  </si>
  <si>
    <t>Objective</t>
  </si>
  <si>
    <t>Procedure</t>
  </si>
  <si>
    <t>Validation</t>
  </si>
  <si>
    <t>Val-Operation</t>
  </si>
  <si>
    <t>Limitation</t>
  </si>
  <si>
    <t>Future Work</t>
  </si>
  <si>
    <t>case study</t>
  </si>
  <si>
    <t>experiment</t>
  </si>
  <si>
    <t>comparison</t>
  </si>
  <si>
    <t>in progress</t>
  </si>
  <si>
    <t>A. Aradea; I. Supriana; K. Surendro; I. Darmawan;</t>
  </si>
  <si>
    <t>A. Ashamalla; G. Beydoun; G. Low;</t>
  </si>
  <si>
    <t>A. Benfell;</t>
  </si>
  <si>
    <t>A. Goknil; I. Kurtev; K. van den Berg; W. Spijkerman;</t>
  </si>
  <si>
    <t>A. Lopez-Lorca; G. Beydoun; R. Valencia-Garcia; R. Martinez-Bejar;</t>
  </si>
  <si>
    <t>A. Nasiri; R. Wrembel; E. Zimányi;</t>
  </si>
  <si>
    <t>A. Nasiri; W. Ahmed; R. Wrembel; E. Zimányi;</t>
  </si>
  <si>
    <t>A. Nowak-Meitinger; J. Mayer; S. Marde; R. Jochem;</t>
  </si>
  <si>
    <t>A. Sadovykh; B. Said; D. Truscan; H. Bruneliere;</t>
  </si>
  <si>
    <t>A. Sadovykh; D. Truscan; H. Bruneliere;</t>
  </si>
  <si>
    <t>A. Salado; P. Wach;</t>
  </si>
  <si>
    <t>B. London; P. Miotto;</t>
  </si>
  <si>
    <t>C. Bacquet; P. Marangé; É. Bonjour; A. Kerbrat;</t>
  </si>
  <si>
    <t>C. Binder; K. Polanec; B. Brankovic; C. Neureiter; G. Lastro; A. Lüder;</t>
  </si>
  <si>
    <t>C. Kotronis; M. Nikolaidou; G. Dimitrakopoulos; D. Anagnostopoulos; A. Amira; F. Bensaali;</t>
  </si>
  <si>
    <t>C. Mannari;</t>
  </si>
  <si>
    <t>D. Aceituna; H. Do; G. Walia; S.-W. Lee;</t>
  </si>
  <si>
    <t>D. Arruda; M. Marinho; E. Souza; F. Wanderley;</t>
  </si>
  <si>
    <t>D. Bouskela; A. Falcone; A. Garro; A. Jardin; M. Otter; N. Thuy; A. Tundis;</t>
  </si>
  <si>
    <t>D. Inkermann; T. Huth; T. Vietor; A. Grewe; C. Knieke; A. Rausch;</t>
  </si>
  <si>
    <t>D. Naouar; J. Hachem; J.-L. Voirin; J. Foisil; Y. Kermarrec;</t>
  </si>
  <si>
    <t>D. Pandey; U. Suman; A. Ramani;</t>
  </si>
  <si>
    <t>D. Wüest; M. Glinz;</t>
  </si>
  <si>
    <t>D. Wüest; N. Seyff; M. Glinz;</t>
  </si>
  <si>
    <t>E. Paja; F. Dalpiaz; P. Giorgini;</t>
  </si>
  <si>
    <t>E. Windisch; C. Mandel; S. Rapp; N. Bursac; A. Albers;</t>
  </si>
  <si>
    <t>E.-V. Chioaşcă;</t>
  </si>
  <si>
    <t>F. Ribeiro; C. Pereira; A. Rettberg; M. Soares;</t>
  </si>
  <si>
    <t>F. Schneider; H. Naughton; B. Berenbach;</t>
  </si>
  <si>
    <t>F. Wanderley; A. Silva; J. Araujo; D. Silveira;</t>
  </si>
  <si>
    <t>G. Liebel; E. Knauss;</t>
  </si>
  <si>
    <t>G. Liebel; M. Tichy; E. Knauss;</t>
  </si>
  <si>
    <t>G. Loniewski; A. Armesto; E. Insfran;</t>
  </si>
  <si>
    <t>G. Mussbacher; D. Amyot; J. Araújo; A. Moreira;</t>
  </si>
  <si>
    <t>H. Alkaf; J. Hassine; T. Binalialhag; D. Amyot;</t>
  </si>
  <si>
    <t>H. Dubois; M.-A. Peraldi-Frati; F. Lakhal;</t>
  </si>
  <si>
    <t>H. Eridaputra; B. Hendradjaya; W. Sunindyo;</t>
  </si>
  <si>
    <t>H. Mouratidis; S. Shei; A. Delaney;</t>
  </si>
  <si>
    <t>H. Reza; R. Sehgal; J. Straub; N. Alexander;</t>
  </si>
  <si>
    <t>H. Scherer; A. Albers; N. Bursac;</t>
  </si>
  <si>
    <t>I. Hadar; I. Reinhartz-Berger; T. Kuflik; A. Perini; F. Ricca; A. Susi;</t>
  </si>
  <si>
    <t>J. Helming; M. Koegel; F. Schneider; M. Haeger; C. Kaminski; B. Bruegge; B. Berenbach;</t>
  </si>
  <si>
    <t>J. Holt; S. Perry; R. Payne; J. Bryans; S. Hallerstede; F. Hansen;</t>
  </si>
  <si>
    <t>J. Pimentel; M. Lucena; J. Castro; C. Silva; E. Santos; F. Alencar;</t>
  </si>
  <si>
    <t>J. Shan; H. Zhao; J. Wang; R. Wang; C. Ruan; Z. Yao;</t>
  </si>
  <si>
    <t>J. Silva; R. Javales; J. Silva;</t>
  </si>
  <si>
    <t>J. Tomyim; A. Pohthong;</t>
  </si>
  <si>
    <t>K. Cooper; C. Longstreet;</t>
  </si>
  <si>
    <t>K. Decreus; G. Poels;</t>
  </si>
  <si>
    <t>K. Holder; A. Zech; M. Ramsaier; R. Stetter; H.-P. Niedermeier; S. Rudolph; M. Till;</t>
  </si>
  <si>
    <t>L. Piras; F. Calabrese; P. Giorgini;</t>
  </si>
  <si>
    <t>L. Sun; C. Mushi;</t>
  </si>
  <si>
    <t>L. Wan; B. Huang; X. Ling; G. Wu;</t>
  </si>
  <si>
    <t>M. Alférez; J. Santos; A. Moreira; A. Garcia; U. Kulesza; J. Araújo; V. Amaral;</t>
  </si>
  <si>
    <t>M. Butt; S. Li;</t>
  </si>
  <si>
    <t>M. Fockel; J. Holtmann;</t>
  </si>
  <si>
    <t>M. Glinz;</t>
  </si>
  <si>
    <t>M. Granda; N. Condori-Fernández; T. Vos; O. Pastor;</t>
  </si>
  <si>
    <t>M. Murtazina; T. Avdeenko;</t>
  </si>
  <si>
    <t>M. Soares; J. Vrancken; A. Verbraeck;</t>
  </si>
  <si>
    <t>M. Teruel; E. Navarro; V. López-Jaquero; F. Montero; J. Jaen; P. González;</t>
  </si>
  <si>
    <t>N. Amálio; P. Kelsen; Q. Ma; C. Glodt;</t>
  </si>
  <si>
    <t>N. Ernst; A. Borgida; I. Jureta; J. Mylopoulos;</t>
  </si>
  <si>
    <t>N. Qureshi; I. Jureta; A. Perini;</t>
  </si>
  <si>
    <t>N. Rjaibi; L. Rabai;</t>
  </si>
  <si>
    <t>N. Sannier; B. Baudry;</t>
  </si>
  <si>
    <t>P. Yang; L. Zhang; Q. Li; X. Gao; Y. Yang</t>
  </si>
  <si>
    <t>R. Ali; F. Dalpiaz; P. Giorgini;</t>
  </si>
  <si>
    <t>R. Andrianjaka; R. Hajarisena; M. Mihaela; T. Mahatody; S. Ilie; R. Raft;</t>
  </si>
  <si>
    <t>R. Darimont; W. Zhao; C. Ponsard; A. Michot;</t>
  </si>
  <si>
    <t>R. Guillerm; H. Demmou; N. Sadou;</t>
  </si>
  <si>
    <t>R. Monteiro; J. Araújo; V. Amaral; M. Goulão; P. Patrício;</t>
  </si>
  <si>
    <t>R. Monteiro; J. Araújo; V. Amaral; P. Patrício;</t>
  </si>
  <si>
    <t>R. Veloso; J. Araujo; A. Rodrigues;</t>
  </si>
  <si>
    <t>S. Abrahão; E. Insfran; J. Carsí; M. Genero;</t>
  </si>
  <si>
    <t>S. Hallerstede; M. Jastram; L. Ladenberger;</t>
  </si>
  <si>
    <t>S. Kannan; K. Suri; J. Cadavid; I. Barosan; M. van Den Brand; M. Alferez; S. Gerard;</t>
  </si>
  <si>
    <t>S. Mohite; R. Phalnikar; M. Joshi; S. Joshi; S. Jadhav;</t>
  </si>
  <si>
    <t>S. Nonsiri; E. Coatanea; M. Bakhouya; F. Mokammel;</t>
  </si>
  <si>
    <t>S. Paydar; M. Kahani;</t>
  </si>
  <si>
    <t>S. Shei; H. Mouratidis; A. Delaney;</t>
  </si>
  <si>
    <t>S. Siegl; K.-S. Hielscher; R. German;</t>
  </si>
  <si>
    <t>S. Supakkul; L. Chung;</t>
  </si>
  <si>
    <t>S. Teufl; D. Mou; D. Ratiu;</t>
  </si>
  <si>
    <t>S. Teufl; G. Hackenberg;</t>
  </si>
  <si>
    <t>T. Baker; M. Mackay; M. Randles; A. Taleb-Bendiab;</t>
  </si>
  <si>
    <t>T. Bao; J. Yang; Y. Yang; Y. Yin;</t>
  </si>
  <si>
    <t>T. Miller; S. Pedell; A. Lopez-Lorca; A. Mendoza; L. Sterling; A. Keirnan;</t>
  </si>
  <si>
    <t>T. Ye; Y. Zhuang; G. Qiao;</t>
  </si>
  <si>
    <t>W. Brace; K. Ekman;</t>
  </si>
  <si>
    <t>W. Wei; A. Liu; S. Lu; T. Wuest;</t>
  </si>
  <si>
    <t>W. Zhang; L. Yi; H. Zhao; Z. Jin;</t>
  </si>
  <si>
    <t>X. Ma; G. Ding; S. Qin; R. Li; K. Yan; S. Xiao; G. Yang;</t>
  </si>
  <si>
    <t>Y. Bernard;</t>
  </si>
  <si>
    <t>Y. Feng; G. Gao; P. Wang; M. Fu; Z. Zhang;</t>
  </si>
  <si>
    <t>Y. Hu; T. Wang; Y. Shi;</t>
  </si>
  <si>
    <t>Y. Li; M. Harutunian; N. Narayan; B. Bruegge; G. Buse;</t>
  </si>
  <si>
    <t>Y. Li; N. Narayan; J. Helming; M. Koegel;</t>
  </si>
  <si>
    <t>Y. Liao; C. Yang; W. Li;</t>
  </si>
  <si>
    <t>Y. Ma; Y. Dou; X. Xu; J. Jiang; K. Yang; Y. Tan;</t>
  </si>
  <si>
    <t>Y. Mordecai; D. Dori;</t>
  </si>
  <si>
    <t>Y. Priyadi; A. Djunaidy; D. Siahaan;</t>
  </si>
  <si>
    <t>Y. Wang; L. Zhao;</t>
  </si>
  <si>
    <t>Y. Wang; L. Zhao; X. Wang; X. Yang; S. Supakkul;</t>
  </si>
  <si>
    <t>Y. Yang; B. Zeng; J. Gao;</t>
  </si>
  <si>
    <t>Y. Yang; X. Li; Z. Liu; W. Ke;</t>
  </si>
  <si>
    <t>Y. Zhang; W. Guo; Z. Chang; J. Ma; Z. Fu; L. Wang; H. Shao;</t>
  </si>
  <si>
    <t>Z. Hamza; M. Hammad;</t>
  </si>
  <si>
    <t>Z. Wang; J. Li; Y. Zhao; Y. Qi; G. Pu; J. He; B. Gu;</t>
  </si>
  <si>
    <t>Topic(original)</t>
  </si>
  <si>
    <t>requirement engineering methodologies and paradigms</t>
  </si>
  <si>
    <t>modeling techniques and model transformation</t>
  </si>
  <si>
    <t>requirements change</t>
  </si>
  <si>
    <t>requirement engineering processes and management</t>
  </si>
  <si>
    <t>requirements verification and validation</t>
  </si>
  <si>
    <t>rank</t>
  </si>
  <si>
    <t>Institutions</t>
  </si>
  <si>
    <t>求和项:Score</t>
  </si>
  <si>
    <t>Paper_Count</t>
  </si>
  <si>
    <t>Universidade Nova de Lisboa</t>
  </si>
  <si>
    <t>Technical University of Munich</t>
  </si>
  <si>
    <t>University of Trento</t>
  </si>
  <si>
    <t>Universitat Politècnica de València</t>
  </si>
  <si>
    <t>University of Brighton</t>
  </si>
  <si>
    <t>University of Zurich</t>
  </si>
  <si>
    <t>Nanjing University of Aeronautics and Astronautics</t>
  </si>
  <si>
    <t>Aalto University</t>
  </si>
  <si>
    <t>Beihang University</t>
  </si>
  <si>
    <t>Karlsruhe Institute of Technology</t>
  </si>
  <si>
    <t>University of Manchester</t>
  </si>
  <si>
    <t>Bandung Institute of Technology</t>
  </si>
  <si>
    <t>Poznań University of Technology</t>
  </si>
  <si>
    <t>University of Luxembourg</t>
  </si>
  <si>
    <t>Airbus (France)</t>
  </si>
  <si>
    <t>Peking University</t>
  </si>
  <si>
    <t>CEA LIST</t>
  </si>
  <si>
    <t>University of Castilla-La Mancha</t>
  </si>
  <si>
    <t>Wuhan University</t>
  </si>
  <si>
    <t>Virginia Tech</t>
  </si>
  <si>
    <t>University of Reading</t>
  </si>
  <si>
    <t>University of Pisa</t>
  </si>
  <si>
    <t>University of East Anglia</t>
  </si>
  <si>
    <t>University of Bahrain</t>
  </si>
  <si>
    <t>Tunis University</t>
  </si>
  <si>
    <t>Toronto Metropolitan University</t>
  </si>
  <si>
    <t>Tianjin University</t>
  </si>
  <si>
    <t>The University of Texas at Dallas</t>
  </si>
  <si>
    <t>Technische Universität Berlin</t>
  </si>
  <si>
    <t>Technion – Israel Institute of Technology</t>
  </si>
  <si>
    <t>Novosibirsk State Technical University</t>
  </si>
  <si>
    <t>North Dakota State University</t>
  </si>
  <si>
    <t>National University of Defense Technology</t>
  </si>
  <si>
    <t>Inria Rennes - Bretagne Atlantique Research Centre</t>
  </si>
  <si>
    <t>Hatyai University</t>
  </si>
  <si>
    <t>Ghent University</t>
  </si>
  <si>
    <t>Fraunhofer Institute for Production Technology IPT</t>
  </si>
  <si>
    <t>Ferdowsi University of Mashhad</t>
  </si>
  <si>
    <t>Draper Laboratory</t>
  </si>
  <si>
    <t>Beijing University of Technology</t>
  </si>
  <si>
    <t>Sepuluh Nopember Institute of Technology</t>
  </si>
  <si>
    <t>Guangdong University of Technology</t>
  </si>
  <si>
    <t>Friedrich-Alexander-Universität Erlangen-Nürnberg</t>
  </si>
  <si>
    <t>Fortiss</t>
  </si>
  <si>
    <t>East China Normal University</t>
  </si>
  <si>
    <t>Southwest Jiaotong University</t>
  </si>
  <si>
    <t>Josef Ressel Center for Dependable System-of-Systems Engineering</t>
  </si>
  <si>
    <t>Chinese Academy of Sciences</t>
  </si>
  <si>
    <t>Bharati Vidyapeeth University</t>
  </si>
  <si>
    <t>University of Ottawa</t>
  </si>
  <si>
    <t>Université de Lorraine</t>
  </si>
  <si>
    <t>Universidade Católica de Pernambuco</t>
  </si>
  <si>
    <t>Liverpool John Moores University</t>
  </si>
  <si>
    <t>King Fahd University of Petroleum and Minerals</t>
  </si>
  <si>
    <t>Sabre (United States)</t>
  </si>
  <si>
    <t>Universidade Federal de Pernambuco</t>
  </si>
  <si>
    <t>Swinburne University of Technology</t>
  </si>
  <si>
    <t>Harokopio University of Athens</t>
  </si>
  <si>
    <t>Aarhus University</t>
  </si>
  <si>
    <t>University of Technology Sydney</t>
  </si>
  <si>
    <t>University of Gothenburg</t>
  </si>
  <si>
    <t>Université Fédérale de Toulouse Midi-Pyrénées</t>
  </si>
  <si>
    <t>Universidade de São Paulo</t>
  </si>
  <si>
    <t>Northeast Petroleum University</t>
  </si>
  <si>
    <t>Heinrich Heine University Düsseldorf</t>
  </si>
  <si>
    <t>Fondazione Bruno Kessler</t>
  </si>
  <si>
    <t>Devi Ahilya Vishwavidyalaya</t>
  </si>
  <si>
    <t>Delft University of Technology</t>
  </si>
  <si>
    <t>Zhejiang University</t>
  </si>
  <si>
    <t>University of Namur</t>
  </si>
  <si>
    <t>Université Libre de Bruxelles</t>
  </si>
  <si>
    <t>University of Applied Sciences Ravensburg-Weingarten</t>
  </si>
  <si>
    <t>University of Haifa</t>
  </si>
  <si>
    <t>Université de Fianarantsoa</t>
  </si>
  <si>
    <t>Technische Universität Braunschweig</t>
  </si>
  <si>
    <t>Clausthal University of Technology</t>
  </si>
  <si>
    <t>Zhejiang Gongshang University</t>
  </si>
  <si>
    <t>University of Wollongong</t>
  </si>
  <si>
    <t>University of Twente</t>
  </si>
  <si>
    <t>University of Southern California</t>
  </si>
  <si>
    <t>University of Macau</t>
  </si>
  <si>
    <t>Universidad de Murcia</t>
  </si>
  <si>
    <t>Softeam Cadextan</t>
  </si>
  <si>
    <t>Reykjavík University</t>
  </si>
  <si>
    <t>Respect-IT</t>
  </si>
  <si>
    <t>Marquette University</t>
  </si>
  <si>
    <t>Guizhou University</t>
  </si>
  <si>
    <t>Fortiss; Technical University of Munich</t>
  </si>
  <si>
    <t>Chalmers University of Technology</t>
  </si>
  <si>
    <t>Centre d'Excellence en Technologies de l'Information et de la Communication</t>
  </si>
  <si>
    <t>Centre National de la Recherche Scientifique</t>
  </si>
  <si>
    <t>Électricité de France (France)</t>
  </si>
  <si>
    <t>Eindhoven University of Technology</t>
  </si>
  <si>
    <t>Université de Bretagne Occidentale</t>
  </si>
  <si>
    <t>Thales (France)</t>
  </si>
  <si>
    <t>University of Craiova</t>
  </si>
  <si>
    <t>The University of Melbourne</t>
  </si>
  <si>
    <t>Qatar University</t>
  </si>
  <si>
    <t>Newcastle University</t>
  </si>
  <si>
    <t>Fondazione Bruno Kessler (FBK)</t>
  </si>
  <si>
    <t>Cheltenham Festivals</t>
  </si>
  <si>
    <t>Utrecht University</t>
  </si>
  <si>
    <t>UNSW Sydney</t>
  </si>
  <si>
    <t>Universität Ulm</t>
  </si>
  <si>
    <t>Universidade Federal de Uberlândia</t>
  </si>
  <si>
    <t>Supélec</t>
  </si>
  <si>
    <t>Siemens (United States)</t>
  </si>
  <si>
    <t>Centro Universitário FEI</t>
  </si>
  <si>
    <t>Babasaheb Bhimrao Ambedkar University</t>
  </si>
  <si>
    <t>ZF Friedrichshafen (Germany)</t>
  </si>
  <si>
    <t>University of Calabria</t>
  </si>
  <si>
    <t>Beijing Institute of Control Engineering</t>
  </si>
  <si>
    <t>Vrije Universiteit Amsterdam</t>
  </si>
  <si>
    <t>University of North Dakota</t>
  </si>
  <si>
    <t>University of Nebraska–Lincoln</t>
  </si>
  <si>
    <t>University of Cuenca</t>
  </si>
  <si>
    <t>University of California</t>
  </si>
  <si>
    <t>University of British Columbia</t>
  </si>
  <si>
    <t>University of Bremen</t>
  </si>
  <si>
    <t>Universidade Federal do Rio Grande do Sul</t>
  </si>
  <si>
    <t>Universidade Federal de Sergipe</t>
  </si>
  <si>
    <t>Telkom University</t>
  </si>
  <si>
    <t>Southwest University</t>
  </si>
  <si>
    <t>Siliwangi University</t>
  </si>
  <si>
    <t>Rutgers, The State University of New Jersey</t>
  </si>
  <si>
    <t>Nspyre</t>
  </si>
  <si>
    <t>Marshall University</t>
  </si>
  <si>
    <t>Macao Polytechnic University</t>
  </si>
  <si>
    <t>Laboratoire des Sciences du Numérique de Nantes</t>
  </si>
  <si>
    <t>Instituto Federal Goiano</t>
  </si>
  <si>
    <t>Edith Cowan University</t>
  </si>
  <si>
    <t>Carl von Ossietzky Universität Oldenburg</t>
  </si>
  <si>
    <t>Åbo Akademi University</t>
  </si>
  <si>
    <t>World Peace University</t>
  </si>
  <si>
    <t>TRUMPF (Germany)</t>
  </si>
  <si>
    <t>Institut de Recherche en Informatique et Systèmes Aléatoires</t>
  </si>
  <si>
    <t>University of Antananarivo</t>
  </si>
  <si>
    <t>Universidade Federal do Rio Grande do Norte</t>
  </si>
  <si>
    <t>Universidade Federal da Paraíba</t>
  </si>
  <si>
    <t>Otto-von-Guericke University Magdeburg</t>
  </si>
  <si>
    <t>Ingegneria dei Sistemi (Italy)</t>
  </si>
  <si>
    <t>University of Stuttgart</t>
  </si>
  <si>
    <t>Technical University of Darmstadt</t>
  </si>
  <si>
    <t>Princeton University</t>
  </si>
  <si>
    <t>Pontifícia Universidade Católica do Rio de Janeiro</t>
  </si>
  <si>
    <t>Northumbria University</t>
  </si>
  <si>
    <t>Deutsches Zentrum für Luft- und Raumfahrt e. V. (DLR)</t>
  </si>
  <si>
    <t>All_Countries</t>
  </si>
  <si>
    <t>CN</t>
  </si>
  <si>
    <t>DE</t>
  </si>
  <si>
    <t>FR</t>
  </si>
  <si>
    <t>GB</t>
  </si>
  <si>
    <t>US</t>
  </si>
  <si>
    <t>PT</t>
  </si>
  <si>
    <t>IT</t>
  </si>
  <si>
    <t>ES</t>
  </si>
  <si>
    <t>BR</t>
  </si>
  <si>
    <t>BE</t>
  </si>
  <si>
    <t>ID</t>
  </si>
  <si>
    <t>AU</t>
  </si>
  <si>
    <t>NL</t>
  </si>
  <si>
    <t>FI</t>
  </si>
  <si>
    <t>IN</t>
  </si>
  <si>
    <t>CH</t>
  </si>
  <si>
    <t>CA</t>
  </si>
  <si>
    <t>IL</t>
  </si>
  <si>
    <t>PL</t>
  </si>
  <si>
    <t>LU</t>
  </si>
  <si>
    <t>SE</t>
  </si>
  <si>
    <t>TN</t>
  </si>
  <si>
    <t>TH</t>
  </si>
  <si>
    <t>RU</t>
  </si>
  <si>
    <t>IR</t>
  </si>
  <si>
    <t>BH</t>
  </si>
  <si>
    <t>AT</t>
  </si>
  <si>
    <t>SA</t>
  </si>
  <si>
    <t>MO</t>
  </si>
  <si>
    <t>MG</t>
  </si>
  <si>
    <t>GR</t>
  </si>
  <si>
    <t>DK</t>
  </si>
  <si>
    <t>IS</t>
  </si>
  <si>
    <t>RO; PK</t>
  </si>
  <si>
    <t>QA</t>
  </si>
  <si>
    <t>EC</t>
  </si>
  <si>
    <t>TT</t>
  </si>
  <si>
    <t>Original_DOI</t>
  </si>
  <si>
    <t>Paper_Title</t>
  </si>
  <si>
    <t>Year</t>
  </si>
  <si>
    <t>Author_Name</t>
  </si>
  <si>
    <t>Author_Position</t>
  </si>
  <si>
    <t>All_Institutions</t>
  </si>
  <si>
    <t>Author_Count</t>
  </si>
  <si>
    <t>10.1109/SYSTEMS.2010.5482456</t>
  </si>
  <si>
    <t>Engineering dependability requirements for complex systems &amp;amp;#x2014; A new information model definition</t>
  </si>
  <si>
    <t>Romaric Guillerm</t>
  </si>
  <si>
    <t>first</t>
  </si>
  <si>
    <t>Centre National de la Recherche Scientifique; Laboratoire d'Analyse et d'Architecture des Systèmes; Université Fédérale de Toulouse Midi-Pyrénées; Université Toulouse III - Paul Sabatier</t>
  </si>
  <si>
    <t>Hamid Demmou</t>
  </si>
  <si>
    <t>middle</t>
  </si>
  <si>
    <t>Nassima Sadou</t>
  </si>
  <si>
    <t>last</t>
  </si>
  <si>
    <t>Institut d'Électronique et des Technologies du numéRique; Supélec</t>
  </si>
  <si>
    <t>10.1109/ICECCS.2010.2</t>
  </si>
  <si>
    <t>Hubert Dubois</t>
  </si>
  <si>
    <t>CEA LIST; Commissariat à l'Énergie Atomique et aux Énergies Alternatives</t>
  </si>
  <si>
    <t>Marie-Agnès Peraldi-Frati</t>
  </si>
  <si>
    <t>Centre National de la Recherche Scientifique; Institut national de recherche en sciences et technologies du numérique</t>
  </si>
  <si>
    <t>Fadoi Lakhal</t>
  </si>
  <si>
    <t>10.1007/s00766-010-0110-z</t>
  </si>
  <si>
    <t>Raian Ali</t>
  </si>
  <si>
    <t>Fabiano Dalpiaz</t>
  </si>
  <si>
    <t>Paolo Giorgini</t>
  </si>
  <si>
    <t>10.1007/978-3-642-12107-4_8</t>
  </si>
  <si>
    <t>Mauricio Alférez</t>
  </si>
  <si>
    <t>Universidade Nova de Lisboa; University of Lisbon</t>
  </si>
  <si>
    <t>Jõao Santos</t>
  </si>
  <si>
    <t>Ana Moreira</t>
  </si>
  <si>
    <t>Alessandro Garcia</t>
  </si>
  <si>
    <t>Uirá Kulesza</t>
  </si>
  <si>
    <t>João Araújo</t>
  </si>
  <si>
    <t>Vasco Amaral</t>
  </si>
  <si>
    <t>10.1109/REV.2010.5625659</t>
  </si>
  <si>
    <t>Jonas Helming</t>
  </si>
  <si>
    <t>Maximilian Koegel</t>
  </si>
  <si>
    <t>Florian Schneider</t>
  </si>
  <si>
    <t>M. Haeger</t>
  </si>
  <si>
    <t>Christine Kaminski</t>
  </si>
  <si>
    <t>Bernd Bruegge</t>
  </si>
  <si>
    <t>Brian Berenbach</t>
  </si>
  <si>
    <t>10.1109/RE.2010.73</t>
  </si>
  <si>
    <t>Martin Glinz</t>
  </si>
  <si>
    <t>10.1109/ARTCom.2010.24</t>
  </si>
  <si>
    <t>Dhirendra Pandey</t>
  </si>
  <si>
    <t>Ugrasen Suman</t>
  </si>
  <si>
    <t>A.K. Ramani</t>
  </si>
  <si>
    <t>10.1007/978-3-642-16086-8_5</t>
  </si>
  <si>
    <t>Nuno Amálio</t>
  </si>
  <si>
    <t>Pierre Kelsen</t>
  </si>
  <si>
    <t>Qin Ma</t>
  </si>
  <si>
    <t>Christian Glodt</t>
  </si>
  <si>
    <t>10.1016/j.infsof.2010.03.010</t>
  </si>
  <si>
    <t>Lily Sun</t>
  </si>
  <si>
    <t>Cleopa John Mushi</t>
  </si>
  <si>
    <t>10.1109/RE.2010.60</t>
  </si>
  <si>
    <t>Rui Monteiro</t>
  </si>
  <si>
    <t>Pedro Patrício</t>
  </si>
  <si>
    <t>10.1007/978-3-642-16558-0_48</t>
  </si>
  <si>
    <t>Zheng Wang</t>
  </si>
  <si>
    <t>East China Normal University; Shanghai Key Laboratory of Trustworthy Computing</t>
  </si>
  <si>
    <t>Jianwen Li</t>
  </si>
  <si>
    <t>Yongxin Zhao</t>
  </si>
  <si>
    <t>Yanxia Qi</t>
  </si>
  <si>
    <t>Not Available</t>
  </si>
  <si>
    <t>Geguang Pu</t>
  </si>
  <si>
    <t>Jifeng He</t>
  </si>
  <si>
    <t>Bin Gu</t>
  </si>
  <si>
    <t>10.1109/RE.2010.49</t>
  </si>
  <si>
    <t>Sebastian Siegl</t>
  </si>
  <si>
    <t>Kai-Steffen Hielscher</t>
  </si>
  <si>
    <t>Reinhard German</t>
  </si>
  <si>
    <t>10.1007/978-3-642-16086-8_2</t>
  </si>
  <si>
    <t>Gunter Mussbacher</t>
  </si>
  <si>
    <t>Daniel Amyot</t>
  </si>
  <si>
    <t>10.1145/1985793.1985922</t>
  </si>
  <si>
    <t>A domain specific requirements model for scientific computing (NIER track)</t>
  </si>
  <si>
    <t>Yang Li</t>
  </si>
  <si>
    <t>Nitesh Narayan</t>
  </si>
  <si>
    <t>10.1007/978-3-642-17722-4_3</t>
  </si>
  <si>
    <t>Ken Decreus</t>
  </si>
  <si>
    <t>Geert Poels</t>
  </si>
  <si>
    <t>10.1016/j.jss.2010.10.020</t>
  </si>
  <si>
    <t>Michel S. Soares</t>
  </si>
  <si>
    <t>Jos Vrancken</t>
  </si>
  <si>
    <t>Alexander Verbraeck</t>
  </si>
  <si>
    <t>10.1109/MoDRE.2011.6045364</t>
  </si>
  <si>
    <t>Grzogorz Loniewski</t>
  </si>
  <si>
    <t>Ausias Armesto</t>
  </si>
  <si>
    <t>Emilio Insfrán</t>
  </si>
  <si>
    <t>10.1109/eScienceW.2011.30</t>
  </si>
  <si>
    <t>Matteo Harutunian</t>
  </si>
  <si>
    <t>Gerrit Buse</t>
  </si>
  <si>
    <t>10.1109/EmpiRE.2011.6046248</t>
  </si>
  <si>
    <t>Daniel Aceituna</t>
  </si>
  <si>
    <t>Hyunsook Do</t>
  </si>
  <si>
    <t>Gursimran Walia</t>
  </si>
  <si>
    <t>Seok-Won Lee</t>
  </si>
  <si>
    <t>10.1016/j.ins.2011.04.005</t>
  </si>
  <si>
    <t>Silvia Abrahão</t>
  </si>
  <si>
    <t>José Á. Carsí</t>
  </si>
  <si>
    <t>Marcela Genero</t>
  </si>
  <si>
    <t>10.1007/978-3-642-28714-5_24</t>
  </si>
  <si>
    <t>Nauman A. Qureshi</t>
  </si>
  <si>
    <t>Ivan Jureta</t>
  </si>
  <si>
    <t>Anna Perini</t>
  </si>
  <si>
    <t>10.1007/s00766-011-0126-z</t>
  </si>
  <si>
    <t>João Pimentel</t>
  </si>
  <si>
    <t>Márcia Lucena</t>
  </si>
  <si>
    <t>Jaelson Castro</t>
  </si>
  <si>
    <t>Carla Silva</t>
  </si>
  <si>
    <t>Emanuel Santos</t>
  </si>
  <si>
    <t>Fernanda Alencar</t>
  </si>
  <si>
    <t>10.1016/j.procs.2012.01.043</t>
  </si>
  <si>
    <t>Helmut Naughton</t>
  </si>
  <si>
    <t>10.1007/978-3-642-03718-4_139</t>
  </si>
  <si>
    <t>Li Wan</t>
  </si>
  <si>
    <t>Bo Huang</t>
  </si>
  <si>
    <t>Xiang Ling</t>
  </si>
  <si>
    <t>Guoqing Wu</t>
  </si>
  <si>
    <t>10.1109/RE.2012.6345831</t>
  </si>
  <si>
    <t>Sam Supakkul</t>
  </si>
  <si>
    <t>Lawrence Chung</t>
  </si>
  <si>
    <t>10.1109/QUATIC.2012.38</t>
  </si>
  <si>
    <t>Miguel Goulão</t>
  </si>
  <si>
    <t>10.1109/ICSE.2012.6227055</t>
  </si>
  <si>
    <t>Erol-Valeriu Chioasca</t>
  </si>
  <si>
    <t>10.1109/RE.2012.6345826</t>
  </si>
  <si>
    <t>Dustin Wüest</t>
  </si>
  <si>
    <t>Norbert Seyff</t>
  </si>
  <si>
    <t>10.1002/sys.20198</t>
  </si>
  <si>
    <t>Requirements management within a full model‐based engineering approach</t>
  </si>
  <si>
    <t>Yves Bernard</t>
  </si>
  <si>
    <t>10.1109/CGames.2012.6314577</t>
  </si>
  <si>
    <t>Kendra Cooper</t>
  </si>
  <si>
    <t>C. Shaun Longstreet</t>
  </si>
  <si>
    <t>10.1016/j.infsof.2012.06.001</t>
  </si>
  <si>
    <t>Miguel A. Teruel</t>
  </si>
  <si>
    <t>Elena Navarro</t>
  </si>
  <si>
    <t>Víctor López‐Jaquero</t>
  </si>
  <si>
    <t>Francisco Montero</t>
  </si>
  <si>
    <t>Juan Javier</t>
  </si>
  <si>
    <t>Pascual González</t>
  </si>
  <si>
    <t>10.1016/j.ijhcs.2013.08.001</t>
  </si>
  <si>
    <t>Yu Wang</t>
  </si>
  <si>
    <t>Liping Zhao</t>
  </si>
  <si>
    <t>Xinyu Wang</t>
  </si>
  <si>
    <t>Xiaohu Yang</t>
  </si>
  <si>
    <t>10.1109/SysCon.2013.6549928</t>
  </si>
  <si>
    <t>Sarayut Nonsiri</t>
  </si>
  <si>
    <t>Éric Coatanéa</t>
  </si>
  <si>
    <t>Mohamed Bakhouya</t>
  </si>
  <si>
    <t>Faisal Mokammel</t>
  </si>
  <si>
    <t>10.1007/s11432-013-4912-8</t>
  </si>
  <si>
    <t>Wei Zhang</t>
  </si>
  <si>
    <t>Institute of Software; Peking University</t>
  </si>
  <si>
    <t>Yi Li</t>
  </si>
  <si>
    <t>Haiyan Zhao</t>
  </si>
  <si>
    <t>Zhi Jin</t>
  </si>
  <si>
    <t>10.1016/j.compeleceng.2013.04.019</t>
  </si>
  <si>
    <t>Thar Baker</t>
  </si>
  <si>
    <t>Michael Mackay</t>
  </si>
  <si>
    <t>Martin Randles</t>
  </si>
  <si>
    <t>A. Taleb-Bendiab</t>
  </si>
  <si>
    <t>10.1109/RE.2013.6636740</t>
  </si>
  <si>
    <t>Sabine Teufl</t>
  </si>
  <si>
    <t>Dongyue Mou</t>
  </si>
  <si>
    <t>Daniel Ratiu</t>
  </si>
  <si>
    <t>10.1016/j.infsof.2013.05.003</t>
  </si>
  <si>
    <t>Irit Hadar</t>
  </si>
  <si>
    <t>Iris Reinhartz-Berger</t>
  </si>
  <si>
    <t>Tsvi Kuflik</t>
  </si>
  <si>
    <t>Filippo Ricca</t>
  </si>
  <si>
    <t>Angelo Susi</t>
  </si>
  <si>
    <t>10.1109/MoDRE.2014.6890825</t>
  </si>
  <si>
    <t>Fernando Wanderley</t>
  </si>
  <si>
    <t>Antonio Silva Sprock</t>
  </si>
  <si>
    <t>Denis Silva da Silveira</t>
  </si>
  <si>
    <t>10.1016/j.is.2013.05.008</t>
  </si>
  <si>
    <t>Neil Ernst</t>
  </si>
  <si>
    <t>Alexander Borgida</t>
  </si>
  <si>
    <t>Fund for Scientific Research; University of Namur</t>
  </si>
  <si>
    <t>John Mylopoulos</t>
  </si>
  <si>
    <t>10.1109/ICODSE.2014.7062702</t>
  </si>
  <si>
    <t>Hanif Eridaputra</t>
  </si>
  <si>
    <t>Bayu Hendradjaya</t>
  </si>
  <si>
    <t>Wikan Danar Sunindyo</t>
  </si>
  <si>
    <t>10.1109/MoDRE.2014.6890827</t>
  </si>
  <si>
    <t>Markus Fockel</t>
  </si>
  <si>
    <t>Fraunhofer Institute for Mechatronic Systems Design; Fraunhofer Institute for Production Technology IPT</t>
  </si>
  <si>
    <t>Jörg Holtmann</t>
  </si>
  <si>
    <t>10.1109/AERO.2014.6836450</t>
  </si>
  <si>
    <t>Brian London</t>
  </si>
  <si>
    <t>Piero Miotto</t>
  </si>
  <si>
    <t>10.1007/978-3-319-05843-6_11</t>
  </si>
  <si>
    <t>Nicolas Sannier</t>
  </si>
  <si>
    <t>Benoît Baudry</t>
  </si>
  <si>
    <t>10.1016/j.infsof.2014.03.002</t>
  </si>
  <si>
    <t>Arda Göknil</t>
  </si>
  <si>
    <t>Ivan Kurtev</t>
  </si>
  <si>
    <t>Klaas van den Berg</t>
  </si>
  <si>
    <t>Wietze Spijkerman</t>
  </si>
  <si>
    <t>10.1016/j.scico.2013.03.008</t>
  </si>
  <si>
    <t>Stefan Hallerstede</t>
  </si>
  <si>
    <t>Michael Jastram</t>
  </si>
  <si>
    <t>Lukas Ladenberger</t>
  </si>
  <si>
    <t>10.1109/IAdCC.2014.6779539</t>
  </si>
  <si>
    <t>Sagar Mohite</t>
  </si>
  <si>
    <t>Rashmi Phalnikar</t>
  </si>
  <si>
    <t>Manjusha Joshi</t>
  </si>
  <si>
    <t>Savitribai Phule Pune University</t>
  </si>
  <si>
    <t>Shashank Joshi</t>
  </si>
  <si>
    <t>Swati Jadhav</t>
  </si>
  <si>
    <t>10.1007/s00766-012-0154-3</t>
  </si>
  <si>
    <t>William Brace</t>
  </si>
  <si>
    <t>Kalevi Ekman</t>
  </si>
  <si>
    <t>10.1007/s12518-015-0154-3</t>
  </si>
  <si>
    <t>Muhammad Atif Butt</t>
  </si>
  <si>
    <t>Songnian Li</t>
  </si>
  <si>
    <t>10.1016/j.procs.2015.08.442</t>
  </si>
  <si>
    <t>Neila Rjaibi</t>
  </si>
  <si>
    <t>Institut Supérieur de Gestion de Tunis; Tunis University</t>
  </si>
  <si>
    <t>Latifa Ben Arfa Rabai</t>
  </si>
  <si>
    <t>10.1007/978-3-319-25747-1_20</t>
  </si>
  <si>
    <t>Azadeh Nasiri</t>
  </si>
  <si>
    <t>Robert Wrembel</t>
  </si>
  <si>
    <t>Esteban Zimányi</t>
  </si>
  <si>
    <t>10.1007/s10515-014-0144-4</t>
  </si>
  <si>
    <t>Samad Paydar</t>
  </si>
  <si>
    <t>Mohsen Kahani</t>
  </si>
  <si>
    <t>10.1016/j.procs.2015.07.045</t>
  </si>
  <si>
    <t>Yongqiang Liao</t>
  </si>
  <si>
    <t>Chunyan Yang</t>
  </si>
  <si>
    <t>Weihua Li</t>
  </si>
  <si>
    <t>10.1016/j.procir.2015.01.020</t>
  </si>
  <si>
    <t>Wei. Wei</t>
  </si>
  <si>
    <t>Ang Liu</t>
  </si>
  <si>
    <t>Stephen C.-Y. Lu</t>
  </si>
  <si>
    <t>Thorsten Wuest</t>
  </si>
  <si>
    <t>Bremer Institut für Produktion und Logistik GmbH; University of Bremen</t>
  </si>
  <si>
    <t>10.1016/j.datak.2015.07.007</t>
  </si>
  <si>
    <t>Elda Paja</t>
  </si>
  <si>
    <t>10.1016/j.ifacol.2015.06.296</t>
  </si>
  <si>
    <t>Georg Hackenberg</t>
  </si>
  <si>
    <t>10.1109/JSYST.2014.2312051</t>
  </si>
  <si>
    <t>Jon Holt</t>
  </si>
  <si>
    <t>Simon Perry</t>
  </si>
  <si>
    <t>Richard Payne</t>
  </si>
  <si>
    <t>Jeremy Bryans</t>
  </si>
  <si>
    <t>Finn Overgaard Hansen</t>
  </si>
  <si>
    <t>10.1016/j.jss.2015.03.044</t>
  </si>
  <si>
    <t>Tim Miller</t>
  </si>
  <si>
    <t>Sonja Pedell</t>
  </si>
  <si>
    <t>Antonio A. Lopez-Lorca</t>
  </si>
  <si>
    <t>Antonette Mendoza</t>
  </si>
  <si>
    <t>Leon Sterling</t>
  </si>
  <si>
    <t>Alen Keirnan</t>
  </si>
  <si>
    <t>10.1109/ICSESS.2016.7883005</t>
  </si>
  <si>
    <t>Jessada Tomyim</t>
  </si>
  <si>
    <t>Amnart Pohthong</t>
  </si>
  <si>
    <t>10.1109/RE.2016.49</t>
  </si>
  <si>
    <t>Robert Darimont</t>
  </si>
  <si>
    <t>Wei Zhao</t>
  </si>
  <si>
    <t>Christophe Ponsard</t>
  </si>
  <si>
    <t>Arnaud Michot</t>
  </si>
  <si>
    <t>10.1007/978-981-10-3482-4_2</t>
  </si>
  <si>
    <t>Jin-Hui Shan</t>
  </si>
  <si>
    <t>Chinese Academy of Sciences; Technology and Engineering Center for Space Utilization</t>
  </si>
  <si>
    <t>Jinbo Wang</t>
  </si>
  <si>
    <t>Ruixue Wang</t>
  </si>
  <si>
    <t>Cheng-Lin Ruan</t>
  </si>
  <si>
    <t>Zhe-Xi Yao</t>
  </si>
  <si>
    <t>10.1016/j.ijhcs.2015.10.007</t>
  </si>
  <si>
    <t>Ghassan Beydoun</t>
  </si>
  <si>
    <t>Rafael Valencia‐García</t>
  </si>
  <si>
    <t>Rodrigo Martı́nez-Béjar</t>
  </si>
  <si>
    <t>10.1007/978-3-319-59466-8_21</t>
  </si>
  <si>
    <t>Shaun Shei</t>
  </si>
  <si>
    <t>Haralambos Mouratidis</t>
  </si>
  <si>
    <t>Aidan Delaney</t>
  </si>
  <si>
    <t>10.1016/j.cl.2017.05.006</t>
  </si>
  <si>
    <t>Amir Ashamalla</t>
  </si>
  <si>
    <t>Graham Low</t>
  </si>
  <si>
    <t>10.1109/AERO.2017.7943647</t>
  </si>
  <si>
    <t>Hassan Reza</t>
  </si>
  <si>
    <t>Rashmi Sehgal</t>
  </si>
  <si>
    <t>University of California, Santa Cruz</t>
  </si>
  <si>
    <t>Jeremy Straub</t>
  </si>
  <si>
    <t>Nicholas Alexander</t>
  </si>
  <si>
    <t>10.1007/s10033-017-0181-6</t>
  </si>
  <si>
    <t>Xiaojie Ma</t>
  </si>
  <si>
    <t>Guofu Ding</t>
  </si>
  <si>
    <t>Shengfeng Qin</t>
  </si>
  <si>
    <t>Rong Li</t>
  </si>
  <si>
    <t>Kaiyin Yan</t>
  </si>
  <si>
    <t>Shoune Xiao</t>
  </si>
  <si>
    <t>Guangwu Yang</t>
  </si>
  <si>
    <t>10.1007/978-3-319-51281-5_24</t>
  </si>
  <si>
    <t>Aradea Aradea</t>
  </si>
  <si>
    <t>Iping Supriana</t>
  </si>
  <si>
    <t>Kridanto Surendro</t>
  </si>
  <si>
    <t>Irfan Darmawan</t>
  </si>
  <si>
    <t>10.1016/j.procir.2017.01.032</t>
  </si>
  <si>
    <t>Helmut Scherer</t>
  </si>
  <si>
    <t>Albert Albers</t>
  </si>
  <si>
    <t>Nikola Bursac</t>
  </si>
  <si>
    <t>10.1109/RE.2017.69</t>
  </si>
  <si>
    <t>María Fernanda Granda</t>
  </si>
  <si>
    <t>Nelly Condori-Fernández</t>
  </si>
  <si>
    <t>Tanja E. J. Vos</t>
  </si>
  <si>
    <t>Óscar Pastor</t>
  </si>
  <si>
    <t>10.1109/SysEng.2017.8088273</t>
  </si>
  <si>
    <t>Yaniv Mordecai</t>
  </si>
  <si>
    <t>Dov Dori</t>
  </si>
  <si>
    <t>10.1007/978-3-319-70625-2_13</t>
  </si>
  <si>
    <t>Waqas Ahmed</t>
  </si>
  <si>
    <t>10.3390/app7111112</t>
  </si>
  <si>
    <t>Kevin Holder</t>
  </si>
  <si>
    <t>Andreas Zech</t>
  </si>
  <si>
    <t>Manuel Ramsaier</t>
  </si>
  <si>
    <t>Ralf Stetter</t>
  </si>
  <si>
    <t>H. Niedermeier</t>
  </si>
  <si>
    <t>Stephan Rudolph</t>
  </si>
  <si>
    <t>Markus Till</t>
  </si>
  <si>
    <t>10.1109/ICSAW.2017.53</t>
  </si>
  <si>
    <t>S. Manoj Kannan</t>
  </si>
  <si>
    <t>Kunal Suri</t>
  </si>
  <si>
    <t>Juan Cadavid</t>
  </si>
  <si>
    <t>Ion Barosan</t>
  </si>
  <si>
    <t>Mark van den Brand</t>
  </si>
  <si>
    <t>Sébastien Gérard</t>
  </si>
  <si>
    <t>10.1007/s10270-016-0525-1</t>
  </si>
  <si>
    <t>Fabíola Gonçalves C. Ribeiro</t>
  </si>
  <si>
    <t>Carlos Eduardo Pereira</t>
  </si>
  <si>
    <t>Achim Rettberg</t>
  </si>
  <si>
    <t>10.1109/SYSOSE.2018.8428764</t>
  </si>
  <si>
    <t>Ch. Kotronis</t>
  </si>
  <si>
    <t>Μάρα Νικολαϊδου</t>
  </si>
  <si>
    <t>George Dimitrakopoulos</t>
  </si>
  <si>
    <t>Dimosthenis Anagnostopoulos</t>
  </si>
  <si>
    <t>Abbes Amira</t>
  </si>
  <si>
    <t>Fayçal Bensaali</t>
  </si>
  <si>
    <t>10.1016/j.procir.2019.04.345</t>
  </si>
  <si>
    <t>David Inkermann</t>
  </si>
  <si>
    <t>Tobias Huth</t>
  </si>
  <si>
    <t>Thomas Vietor</t>
  </si>
  <si>
    <t>Axel Grewe</t>
  </si>
  <si>
    <t>Christoph Knieke</t>
  </si>
  <si>
    <t>Andreas Rausch</t>
  </si>
  <si>
    <t>10.1007/978-3-030-37487-7_17</t>
  </si>
  <si>
    <t>Marina Murtazina</t>
  </si>
  <si>
    <t>Tatiana Avdeenko</t>
  </si>
  <si>
    <t>10.1007/978-3-030-24305-0_38</t>
  </si>
  <si>
    <t>Danilo Arruda</t>
  </si>
  <si>
    <t>Matheus Marinho</t>
  </si>
  <si>
    <t>Eric Souza</t>
  </si>
  <si>
    <t>10.1016/j.jss.2019.110397</t>
  </si>
  <si>
    <t>Hasan Salim Alkaf</t>
  </si>
  <si>
    <t>Jameleddine Hassine</t>
  </si>
  <si>
    <t>Taha Binalialhag</t>
  </si>
  <si>
    <t>10.1016/j.ifacol.2019.10.006</t>
  </si>
  <si>
    <t>Javier Martinez Silva</t>
  </si>
  <si>
    <t>Raul Javales</t>
  </si>
  <si>
    <t>José Reinaldo Silva</t>
  </si>
  <si>
    <t>10.1109/ICSE-Companion.2019.00038</t>
  </si>
  <si>
    <t>Yilong Yang</t>
  </si>
  <si>
    <t>Xiaoshan Li</t>
  </si>
  <si>
    <t>Zhiming Liu</t>
  </si>
  <si>
    <t>Wei Ke</t>
  </si>
  <si>
    <t>10.1109/ICMSAO.2019.8880431</t>
  </si>
  <si>
    <t>Zahra Abdulkarim Hamza</t>
  </si>
  <si>
    <t>Mustafa Hammad</t>
  </si>
  <si>
    <t>10.1109/ICORIS.2019.8874920</t>
  </si>
  <si>
    <t>Yudi Priyadi</t>
  </si>
  <si>
    <t>Arif Djunaidy</t>
  </si>
  <si>
    <t>Daniel Siahaan</t>
  </si>
  <si>
    <t>10.3390/systems7020019</t>
  </si>
  <si>
    <t>Alejandro Salado</t>
  </si>
  <si>
    <t>Paul Wach</t>
  </si>
  <si>
    <t>10.1007/s00766-017-0285-7</t>
  </si>
  <si>
    <t>10.1007/s10270-018-0683-4</t>
  </si>
  <si>
    <t>Grischa Liebel</t>
  </si>
  <si>
    <t>Chalmers University of Technology; University of Gothenburg</t>
  </si>
  <si>
    <t>Matthias Tichy</t>
  </si>
  <si>
    <t>Eric Knauss</t>
  </si>
  <si>
    <t>10.1007/s10270-019-00747-8</t>
  </si>
  <si>
    <t>10.1007/978-3-030-63479-7_25</t>
  </si>
  <si>
    <t>Luca Piras</t>
  </si>
  <si>
    <t>Federico Calabrese</t>
  </si>
  <si>
    <t>10.1007/978-3-030-75018-3_17</t>
  </si>
  <si>
    <t>Roberto Veloso</t>
  </si>
  <si>
    <t>Armanda Rodrigues</t>
  </si>
  <si>
    <t>10.1007/s00766-020-00330-4</t>
  </si>
  <si>
    <t>Adrian Benfell</t>
  </si>
  <si>
    <t>Norwich Research Park; University of East Anglia</t>
  </si>
  <si>
    <t>10.1016/j.procs.2021.03.098</t>
  </si>
  <si>
    <t>Rapatsalahy Miary Andrianjaka</t>
  </si>
  <si>
    <t>Hajarisena Razafimahatratra</t>
  </si>
  <si>
    <t>Mihaela Ilie</t>
  </si>
  <si>
    <t>Information Technology University; University of Craiova</t>
  </si>
  <si>
    <t>Thomas Mahatody</t>
  </si>
  <si>
    <t>Ilie Sorin</t>
  </si>
  <si>
    <t>Razafindrakoto Nicolas Raft</t>
  </si>
  <si>
    <t>10.1109/ETFA45728.2021.9613700</t>
  </si>
  <si>
    <t>Christoph Binder</t>
  </si>
  <si>
    <t>Katharina Polanec</t>
  </si>
  <si>
    <t>Boris Brankovic</t>
  </si>
  <si>
    <t>Christian Neureiter</t>
  </si>
  <si>
    <t>Goran Lastro</t>
  </si>
  <si>
    <t>Arndt Lüder</t>
  </si>
  <si>
    <t>10.1109/RE51729.2021.00037</t>
  </si>
  <si>
    <t>Douraïd Naouar</t>
  </si>
  <si>
    <t>IMT Atlantique; Université de Bretagne Occidentale; École Navale</t>
  </si>
  <si>
    <t>Jamal El Hachem</t>
  </si>
  <si>
    <t>Jean‐Luc Voirin</t>
  </si>
  <si>
    <t>Jacques Foisil</t>
  </si>
  <si>
    <t>Yvon Kermarrec</t>
  </si>
  <si>
    <t>10.1145/3510454.3516850</t>
  </si>
  <si>
    <t>RM2Doc</t>
  </si>
  <si>
    <t>Tianshu Bao</t>
  </si>
  <si>
    <t>Jing Yang</t>
  </si>
  <si>
    <t>Yongfeng Yin</t>
  </si>
  <si>
    <t>10.1016/j.procir.2022.05.293</t>
  </si>
  <si>
    <t>Emily Windisch</t>
  </si>
  <si>
    <t>Constantin Mandel</t>
  </si>
  <si>
    <t>Simon Rapp</t>
  </si>
  <si>
    <t>10.1007/s00766-021-00359-z</t>
  </si>
  <si>
    <t>Daniel Bouskela</t>
  </si>
  <si>
    <t>Alberto Falcone</t>
  </si>
  <si>
    <t>Alfredo Garro</t>
  </si>
  <si>
    <t>Audrey Jardin</t>
  </si>
  <si>
    <t>Martin Otter</t>
  </si>
  <si>
    <t>Nguyen Ba Thuy</t>
  </si>
  <si>
    <t>Andrea Tundis</t>
  </si>
  <si>
    <t>10.1007/s10270-022-01072-3</t>
  </si>
  <si>
    <t>Tong Ye</t>
  </si>
  <si>
    <t>Yi Zhuang</t>
  </si>
  <si>
    <t>Gongzhe Qiao</t>
  </si>
  <si>
    <t>10.1016/j.jss.2023.111628</t>
  </si>
  <si>
    <t>10.1007/s00766-024-00431-4</t>
  </si>
  <si>
    <t>Bingjie Zeng</t>
  </si>
  <si>
    <t>Juntao Gao</t>
  </si>
  <si>
    <t>10.1016/j.aei.2023.102329</t>
  </si>
  <si>
    <t>Yufeng Ma</t>
  </si>
  <si>
    <t>Yajie Dou</t>
  </si>
  <si>
    <t>Xiangqian Xu</t>
  </si>
  <si>
    <t>Jiang Jiang</t>
  </si>
  <si>
    <t>Kewei Yang</t>
  </si>
  <si>
    <t>Yuejin Tan</t>
  </si>
  <si>
    <t>10.1016/j.ifacol.2024.09.194</t>
  </si>
  <si>
    <t>Cyril Bacquet</t>
  </si>
  <si>
    <t>Pascale Marangé</t>
  </si>
  <si>
    <t>Éric Bonjour</t>
  </si>
  <si>
    <t>Alain Kerbrat</t>
  </si>
  <si>
    <t>10.1007/978-3-031-24771-2_2</t>
  </si>
  <si>
    <t>Anna M. Nowak-Meitinger</t>
  </si>
  <si>
    <t>Jan Mayer</t>
  </si>
  <si>
    <t>Sanjana Kishor Marde</t>
  </si>
  <si>
    <t>Roland Jochem</t>
  </si>
  <si>
    <t>10.1007/978-3-031-47718-8_53</t>
  </si>
  <si>
    <t>HU Yan-lin</t>
  </si>
  <si>
    <t>Tiexin Wang</t>
  </si>
  <si>
    <t>Yize Shi</t>
  </si>
  <si>
    <t>10.1016/j.aei.2024.102861</t>
  </si>
  <si>
    <t>Yuanrong Zhang</t>
  </si>
  <si>
    <t>Wei Guo</t>
  </si>
  <si>
    <t>Zhixing Chang</t>
  </si>
  <si>
    <t>Jian Ma</t>
  </si>
  <si>
    <t>Zhong-Lin Fu</t>
  </si>
  <si>
    <t>Lei Wang</t>
  </si>
  <si>
    <t>Hongyu Shao</t>
  </si>
  <si>
    <t>10.1016/j.cie.2024.110398</t>
  </si>
  <si>
    <t>Yongbing Feng</t>
  </si>
  <si>
    <t>Guohua Gao</t>
  </si>
  <si>
    <t>Pengyu Wang</t>
  </si>
  <si>
    <t>Mengyu Fu</t>
  </si>
  <si>
    <t>Zihua Zhang</t>
  </si>
  <si>
    <t>10.1109/RE59067.2024.00064</t>
  </si>
  <si>
    <t>Chiara Mannari</t>
  </si>
  <si>
    <t>National Research Council; University of Pisa</t>
  </si>
  <si>
    <t>10.1016/j.scico.2023.103047</t>
  </si>
  <si>
    <t>Andrey Sadovykh</t>
  </si>
  <si>
    <t>Bilal Said</t>
  </si>
  <si>
    <t>Dragoş Truşcan</t>
  </si>
  <si>
    <t>Hugo Brunelière</t>
  </si>
  <si>
    <t>IMT Atlantique; Laboratoire des Sciences du Numérique de Nantes</t>
  </si>
  <si>
    <t>10.1016/j.scico.2024.103197</t>
  </si>
  <si>
    <t>P. Yang</t>
  </si>
  <si>
    <t>Li Zhang</t>
  </si>
  <si>
    <t>Qin Li</t>
  </si>
  <si>
    <t>Xiang Gao</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</si>
</sst>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0_ "/>
  </numFmts>
  <fonts count="25">
    <font>
      <sz val="11"/>
      <color theme="1"/>
      <name val="宋体"/>
      <charset val="134"/>
      <scheme val="minor"/>
    </font>
    <font>
      <b/>
      <sz val="11"/>
      <name val="宋体"/>
      <charset val="134"/>
      <scheme val="minor"/>
    </font>
    <font>
      <sz val="11"/>
      <color theme="1"/>
      <name val="宋体"/>
      <charset val="134"/>
    </font>
    <font>
      <b/>
      <sz val="11"/>
      <name val="宋体"/>
      <charset val="134"/>
    </font>
    <font>
      <b/>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3" borderId="6" applyNumberFormat="0" applyAlignment="0" applyProtection="0">
      <alignment vertical="center"/>
    </xf>
    <xf numFmtId="0" fontId="15" fillId="4" borderId="7" applyNumberFormat="0" applyAlignment="0" applyProtection="0">
      <alignment vertical="center"/>
    </xf>
    <xf numFmtId="0" fontId="16" fillId="4" borderId="6" applyNumberFormat="0" applyAlignment="0" applyProtection="0">
      <alignment vertical="center"/>
    </xf>
    <xf numFmtId="0" fontId="17" fillId="5"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3">
    <xf numFmtId="0" fontId="0" fillId="0" borderId="0" xfId="0">
      <alignment vertical="center"/>
    </xf>
    <xf numFmtId="0" fontId="0" fillId="0" borderId="0" xfId="0" applyFill="1" applyAlignment="1"/>
    <xf numFmtId="0" fontId="0" fillId="0" borderId="0" xfId="0" applyFont="1" applyFill="1" applyAlignment="1"/>
    <xf numFmtId="0" fontId="1" fillId="0" borderId="1" xfId="0" applyFont="1" applyFill="1" applyBorder="1" applyAlignment="1">
      <alignment horizontal="center" vertical="top"/>
    </xf>
    <xf numFmtId="176" fontId="0" fillId="0" borderId="0" xfId="0" applyNumberFormat="1" applyFont="1" applyFill="1" applyAlignment="1"/>
    <xf numFmtId="0" fontId="2" fillId="0" borderId="0" xfId="0" applyFont="1" applyFill="1" applyAlignment="1"/>
    <xf numFmtId="0" fontId="3" fillId="0" borderId="0" xfId="0" applyFont="1" applyFill="1" applyBorder="1" applyAlignment="1">
      <alignment horizontal="center" vertical="top"/>
    </xf>
    <xf numFmtId="177" fontId="0" fillId="0" borderId="0" xfId="0" applyNumberFormat="1">
      <alignment vertical="center"/>
    </xf>
    <xf numFmtId="177" fontId="2" fillId="0" borderId="0" xfId="0" applyNumberFormat="1" applyFont="1" applyFill="1" applyAlignment="1"/>
    <xf numFmtId="0" fontId="0" fillId="0" borderId="0" xfId="0" applyFill="1">
      <alignment vertical="center"/>
    </xf>
    <xf numFmtId="0" fontId="4" fillId="0" borderId="0" xfId="0" applyFont="1" applyFill="1" applyAlignment="1">
      <alignment vertical="center"/>
    </xf>
    <xf numFmtId="0" fontId="4"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0" fillId="0" borderId="0" xfId="0" applyAlignment="1">
      <alignment horizontal="center" vertical="center"/>
    </xf>
    <xf numFmtId="0" fontId="5" fillId="0" borderId="0" xfId="0" applyFont="1" applyFill="1" applyAlignment="1">
      <alignment horizontal="center" vertical="center"/>
    </xf>
    <xf numFmtId="0" fontId="5" fillId="0" borderId="0" xfId="0" applyFont="1" applyFill="1" applyAlignment="1">
      <alignment vertical="center"/>
    </xf>
    <xf numFmtId="0" fontId="5" fillId="0" borderId="0" xfId="0" applyFont="1" applyFill="1">
      <alignment vertical="center"/>
    </xf>
    <xf numFmtId="0" fontId="4" fillId="0" borderId="0" xfId="0" applyFont="1" applyFill="1">
      <alignment vertical="center"/>
    </xf>
    <xf numFmtId="0" fontId="0" fillId="0" borderId="2" xfId="0" applyBorder="1">
      <alignment vertical="center"/>
    </xf>
    <xf numFmtId="0" fontId="0" fillId="0" borderId="0" xfId="0" applyFill="1" applyAlignment="1">
      <alignment vertical="center" wrapText="1"/>
    </xf>
    <xf numFmtId="0" fontId="5" fillId="0" borderId="0" xfId="0" applyFont="1" applyFill="1" applyAlignment="1">
      <alignment vertical="center" wrapText="1"/>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0">
    <dxf>
      <fill>
        <patternFill patternType="solid">
          <bgColor theme="9"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val="1"/>
        <color rgb="FF000000"/>
      </font>
    </dxf>
    <dxf>
      <font>
        <b val="1"/>
        <color rgb="FF000000"/>
      </font>
      <border>
        <bottom style="thin">
          <color rgb="FF95B3D7"/>
        </bottom>
      </border>
    </dxf>
    <dxf>
      <font>
        <b val="1"/>
        <color rgb="FF000000"/>
      </font>
    </dxf>
    <dxf>
      <font>
        <b val="1"/>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val="1"/>
        <color rgb="FF000000"/>
      </font>
      <fill>
        <patternFill patternType="solid">
          <fgColor rgb="FFDCE6F1"/>
          <bgColor rgb="FFDCE6F1"/>
        </patternFill>
      </fill>
      <border>
        <top style="thin">
          <color rgb="FF95B3D7"/>
        </top>
      </border>
    </dxf>
    <dxf>
      <font>
        <b val="1"/>
        <color rgb="FF000000"/>
      </font>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val="1"/>
        <color rgb="FF000000"/>
      </font>
    </dxf>
    <dxf>
      <font>
        <b val="1"/>
        <color rgb="FF000000"/>
      </font>
      <border>
        <bottom style="thin">
          <color rgb="FF95B3D7"/>
        </bottom>
      </border>
    </dxf>
    <dxf>
      <font>
        <b val="1"/>
        <color rgb="FF000000"/>
      </font>
    </dxf>
    <dxf>
      <font>
        <b val="1"/>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val="1"/>
        <color rgb="FF000000"/>
      </font>
      <fill>
        <patternFill patternType="solid">
          <fgColor rgb="FFDCE6F1"/>
          <bgColor rgb="FFDCE6F1"/>
        </patternFill>
      </fill>
      <border>
        <top style="thin">
          <color rgb="FF95B3D7"/>
        </top>
      </border>
    </dxf>
    <dxf>
      <font>
        <b val="1"/>
        <color rgb="FF000000"/>
      </font>
      <fill>
        <patternFill patternType="solid">
          <fgColor rgb="FFDCE6F1"/>
          <bgColor rgb="FFDCE6F1"/>
        </patternFill>
      </fill>
      <border>
        <bottom style="thin">
          <color rgb="FF95B3D7"/>
        </bottom>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4"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Light16 2" table="0" count="11" xr9:uid="{B1869743-6522-43BD-9DDA-3E8E26BEFA31}">
      <tableStyleElement type="headerRow" dxfId="18"/>
      <tableStyleElement type="totalRow" dxfId="17"/>
      <tableStyleElement type="firstRowStripe" dxfId="16"/>
      <tableStyleElement type="firstColumnStripe" dxfId="15"/>
      <tableStyleElement type="firstSubtotalColumn"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 name="PivotStyleLight16 3" table="0" count="11" xr9:uid="{3163E8FC-376B-4AA1-B0B6-1467C7F8CA76}">
      <tableStyleElement type="headerRow" dxfId="29"/>
      <tableStyleElement type="totalRow" dxfId="28"/>
      <tableStyleElement type="firstRowStripe" dxfId="27"/>
      <tableStyleElement type="firstColumnStripe" dxfId="26"/>
      <tableStyleElement type="firstSubtotalColumn" dxfId="25"/>
      <tableStyleElement type="firstSubtotalRow" dxfId="24"/>
      <tableStyleElement type="secondSubtotalRow" dxfId="23"/>
      <tableStyleElement type="firstRowSubheading" dxfId="22"/>
      <tableStyleElement type="secondRowSubheading" dxfId="21"/>
      <tableStyleElement type="pageFieldLabels" dxfId="20"/>
      <tableStyleElement type="pageFieldValues" dxfId="19"/>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externalLink" Target="externalLinks/externalLink1.xml"/><Relationship Id="rId26" Type="http://schemas.openxmlformats.org/officeDocument/2006/relationships/pivotCacheDefinition" Target="pivotCache/pivotCacheDefinition7.xml"/><Relationship Id="rId25" Type="http://schemas.openxmlformats.org/officeDocument/2006/relationships/pivotCacheDefinition" Target="pivotCache/pivotCacheDefinition6.xml"/><Relationship Id="rId24" Type="http://schemas.openxmlformats.org/officeDocument/2006/relationships/pivotCacheDefinition" Target="pivotCache/pivotCacheDefinition5.xml"/><Relationship Id="rId23" Type="http://schemas.openxmlformats.org/officeDocument/2006/relationships/pivotCacheDefinition" Target="pivotCache/pivotCacheDefinition4.xml"/><Relationship Id="rId22" Type="http://schemas.openxmlformats.org/officeDocument/2006/relationships/pivotCacheDefinition" Target="pivotCache/pivotCacheDefinition3.xml"/><Relationship Id="rId21" Type="http://schemas.openxmlformats.org/officeDocument/2006/relationships/pivotCacheDefinition" Target="pivotCache/pivotCacheDefinition2.xml"/><Relationship Id="rId20" Type="http://schemas.openxmlformats.org/officeDocument/2006/relationships/pivotCacheDefinition" Target="pivotCache/pivotCacheDefinition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[Paper Screening and Data Extraction.xlsx]score!数据透视表1</c:name>
    <c:fmtId val="0"/>
  </c:pivotSource>
  <c:chart>
    <c:autoTitleDeleted val="1"/>
    <c:plotArea>
      <c:layout/>
      <c:barChart>
        <c:barDir val="col"/>
        <c:grouping val="clustered"/>
        <c:varyColors val="0"/>
        <c:ser>
          <c:idx val="0"/>
          <c:order val="0"/>
          <c:tx>
            <c:strRef>
              <c:f>score!$B$3</c:f>
              <c:strCache>
                <c:ptCount val="1"/>
                <c:pt idx="0">
                  <c:v>汇总</c:v>
                </c:pt>
              </c:strCache>
            </c:strRef>
          </c:tx>
          <c:spPr>
            <a:solidFill>
              <a:schemeClr val="accent1"/>
            </a:solidFill>
            <a:ln>
              <a:noFill/>
            </a:ln>
            <a:effectLst/>
          </c:spPr>
          <c:invertIfNegative val="0"/>
          <c:dLbls>
            <c:delete val="1"/>
          </c:dLbls>
          <c:cat>
            <c:strRef>
              <c:f>score!$A$4:$A$13</c:f>
              <c:strCache>
                <c:ptCount val="9"/>
                <c:pt idx="0">
                  <c:v>2</c:v>
                </c:pt>
                <c:pt idx="1">
                  <c:v>2.5</c:v>
                </c:pt>
                <c:pt idx="2">
                  <c:v>3</c:v>
                </c:pt>
                <c:pt idx="3">
                  <c:v>3.5</c:v>
                </c:pt>
                <c:pt idx="4">
                  <c:v>4</c:v>
                </c:pt>
                <c:pt idx="5">
                  <c:v>4.5</c:v>
                </c:pt>
                <c:pt idx="6">
                  <c:v>5</c:v>
                </c:pt>
                <c:pt idx="7">
                  <c:v>5.5</c:v>
                </c:pt>
                <c:pt idx="8">
                  <c:v>6</c:v>
                </c:pt>
              </c:strCache>
            </c:strRef>
          </c:cat>
          <c:val>
            <c:numRef>
              <c:f>score!$B$4:$B$13</c:f>
              <c:numCache>
                <c:formatCode>General</c:formatCode>
                <c:ptCount val="9"/>
                <c:pt idx="0">
                  <c:v>1</c:v>
                </c:pt>
                <c:pt idx="1">
                  <c:v>1</c:v>
                </c:pt>
                <c:pt idx="2">
                  <c:v>14</c:v>
                </c:pt>
                <c:pt idx="3">
                  <c:v>3</c:v>
                </c:pt>
                <c:pt idx="4">
                  <c:v>32</c:v>
                </c:pt>
                <c:pt idx="5">
                  <c:v>3</c:v>
                </c:pt>
                <c:pt idx="6">
                  <c:v>31</c:v>
                </c:pt>
                <c:pt idx="7">
                  <c:v>5</c:v>
                </c:pt>
                <c:pt idx="8">
                  <c:v>19</c:v>
                </c:pt>
              </c:numCache>
            </c:numRef>
          </c:val>
        </c:ser>
        <c:dLbls>
          <c:showLegendKey val="0"/>
          <c:showVal val="0"/>
          <c:showCatName val="0"/>
          <c:showSerName val="0"/>
          <c:showPercent val="0"/>
          <c:showBubbleSize val="0"/>
        </c:dLbls>
        <c:gapWidth val="150"/>
        <c:overlap val="0"/>
        <c:axId val="394596182"/>
        <c:axId val="127955213"/>
      </c:barChart>
      <c:catAx>
        <c:axId val="394596182"/>
        <c:scaling>
          <c:orientation val="minMax"/>
        </c:scaling>
        <c:delete val="0"/>
        <c:axPos val="b"/>
        <c:title>
          <c:tx>
            <c:rich>
              <a:bodyPr rot="0" spcFirstLastPara="0" vertOverflow="ellipsis" vert="horz" wrap="square" anchor="ctr" anchorCtr="1"/>
              <a:lstStyle/>
              <a:p>
                <a:pPr defTabSz="914400">
                  <a:defRPr lang="zh-CN" sz="1000" b="1" i="0" u="none" strike="noStrike" kern="1200" baseline="0">
                    <a:solidFill>
                      <a:schemeClr val="tx1">
                        <a:lumMod val="65000"/>
                        <a:lumOff val="35000"/>
                      </a:schemeClr>
                    </a:solidFill>
                    <a:latin typeface="+mn-lt"/>
                    <a:ea typeface="+mn-ea"/>
                    <a:cs typeface="+mn-cs"/>
                  </a:defRPr>
                </a:pPr>
                <a:r>
                  <a:rPr lang="en-US" altLang="zh-CN"/>
                  <a:t>Score</a:t>
                </a:r>
                <a:endParaRPr lang="en-US" altLang="zh-CN"/>
              </a:p>
            </c:rich>
          </c:tx>
          <c:layout>
            <c:manualLayout>
              <c:xMode val="edge"/>
              <c:yMode val="edge"/>
              <c:x val="0.463423012472041"/>
              <c:y val="0.810621655885454"/>
            </c:manualLayout>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1" i="0" u="none" strike="noStrike" kern="1200" baseline="0">
                <a:solidFill>
                  <a:schemeClr val="tx1">
                    <a:lumMod val="65000"/>
                    <a:lumOff val="35000"/>
                  </a:schemeClr>
                </a:solidFill>
                <a:latin typeface="+mn-lt"/>
                <a:ea typeface="+mn-ea"/>
                <a:cs typeface="+mn-cs"/>
              </a:defRPr>
            </a:pPr>
          </a:p>
        </c:txPr>
        <c:crossAx val="127955213"/>
        <c:crosses val="autoZero"/>
        <c:auto val="1"/>
        <c:lblAlgn val="ctr"/>
        <c:lblOffset val="100"/>
        <c:noMultiLvlLbl val="0"/>
      </c:catAx>
      <c:valAx>
        <c:axId val="127955213"/>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000" b="1" i="0" u="none" strike="noStrike" kern="1200" baseline="0">
                    <a:solidFill>
                      <a:schemeClr val="tx1">
                        <a:lumMod val="65000"/>
                        <a:lumOff val="35000"/>
                      </a:schemeClr>
                    </a:solidFill>
                    <a:latin typeface="+mn-lt"/>
                    <a:ea typeface="+mn-ea"/>
                    <a:cs typeface="+mn-cs"/>
                  </a:defRPr>
                </a:pPr>
                <a:r>
                  <a:rPr lang="en-US" altLang="zh-CN"/>
                  <a:t>Number of papers</a:t>
                </a:r>
                <a:endParaRPr lang="en-US" altLang="zh-CN"/>
              </a:p>
            </c:rich>
          </c:tx>
          <c:layout>
            <c:manualLayout>
              <c:xMode val="edge"/>
              <c:yMode val="edge"/>
              <c:x val="0.0237437476927086"/>
              <c:y val="0.269390695759572"/>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1" i="0" u="none" strike="noStrike" kern="1200" baseline="0">
                <a:solidFill>
                  <a:schemeClr val="tx1">
                    <a:lumMod val="65000"/>
                    <a:lumOff val="35000"/>
                  </a:schemeClr>
                </a:solidFill>
                <a:latin typeface="+mn-lt"/>
                <a:ea typeface="+mn-ea"/>
                <a:cs typeface="+mn-cs"/>
              </a:defRPr>
            </a:pPr>
          </a:p>
        </c:txPr>
        <c:crossAx val="394596182"/>
        <c:crosses val="autoZero"/>
        <c:crossBetween val="between"/>
      </c:valAx>
      <c:spPr>
        <a:noFill/>
        <a:ln>
          <a:noFill/>
        </a:ln>
        <a:effectLst/>
      </c:spPr>
    </c:plotArea>
    <c:plotVisOnly val="1"/>
    <c:dispBlanksAs val="gap"/>
    <c:showDLblsOverMax val="0"/>
    <c:extLst>
      <c:ext uri="{0b15fc19-7d7d-44ad-8c2d-2c3a37ce22c3}">
        <chartProps xmlns="https://web.wps.cn/et/2018/main" chartId="{b27142eb-503f-4b65-95bf-200dab20b848}"/>
      </c:ext>
    </c:extLst>
  </c:chart>
  <c:spPr>
    <a:solidFill>
      <a:schemeClr val="bg1"/>
    </a:solidFill>
    <a:ln w="9525" cap="flat" cmpd="sng" algn="ctr">
      <a:noFill/>
      <a:round/>
    </a:ln>
    <a:effectLst/>
  </c:spPr>
  <c:txPr>
    <a:bodyPr/>
    <a:lstStyle/>
    <a:p>
      <a:pPr>
        <a:defRPr lang="zh-CN" b="1"/>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508000</xdr:colOff>
      <xdr:row>5</xdr:row>
      <xdr:rowOff>6985</xdr:rowOff>
    </xdr:from>
    <xdr:to>
      <xdr:col>13</xdr:col>
      <xdr:colOff>248285</xdr:colOff>
      <xdr:row>22</xdr:row>
      <xdr:rowOff>69215</xdr:rowOff>
    </xdr:to>
    <xdr:graphicFrame>
      <xdr:nvGraphicFramePr>
        <xdr:cNvPr id="2" name="图表 1"/>
        <xdr:cNvGraphicFramePr/>
      </xdr:nvGraphicFramePr>
      <xdr:xfrm>
        <a:off x="4006850" y="895985"/>
        <a:ext cx="4617085" cy="30848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1021;&#31579;&#20998;&#3242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ll"/>
      <sheetName val="final"/>
      <sheetName val="Sheet3"/>
    </sheetNames>
    <sheetDataSet>
      <sheetData sheetId="0"/>
      <sheetData sheetId="1">
        <row r="1">
          <cell r="H1" t="str">
            <v>Title</v>
          </cell>
        </row>
        <row r="2">
          <cell r="H2" t="str">
            <v>Engineering dependability requirements for complex systems — A new information model definition</v>
          </cell>
        </row>
        <row r="3">
          <cell r="H3" t="str">
            <v>A Model for Requirements Traceability in a Heterogeneous Model-Based Design Process: Application to Automotive Embedded Systems</v>
          </cell>
        </row>
        <row r="4">
          <cell r="H4" t="str">
            <v>A goal-based framework for contextual requirements modeling and analysis</v>
          </cell>
        </row>
        <row r="5">
          <cell r="H5" t="str">
            <v>Multi-view Composition Language for Software Product Line Requirements</v>
          </cell>
        </row>
        <row r="6">
          <cell r="H6" t="str">
            <v>Towards a unified Requirements Modeling Language</v>
          </cell>
        </row>
        <row r="7">
          <cell r="H7" t="str">
            <v>Very Lightweight Requirements Modeling</v>
          </cell>
        </row>
        <row r="8">
          <cell r="H8" t="str">
            <v>An Effective Requirement Engineering Process Model for Software Development and Requirements Management</v>
          </cell>
        </row>
        <row r="9">
          <cell r="H9" t="str">
            <v>Using VCL as an Aspect-Oriented Approach to Requirements Modelling</v>
          </cell>
        </row>
        <row r="10">
          <cell r="H10" t="str">
            <v>Case-based analysis in user requirements modelling for knowledge construction</v>
          </cell>
        </row>
        <row r="11">
          <cell r="H11" t="str">
            <v>Mdgore: Towards Model-Driven and Goal-Oriented Requirements Engineering</v>
          </cell>
        </row>
        <row r="12">
          <cell r="H12" t="str">
            <v>SPARDL: A Requirement Modeling Language for Periodic Control System</v>
          </cell>
        </row>
        <row r="13">
          <cell r="H13" t="str">
            <v>Model Based Requirements Analysis and Testing of Automotive Systems with Timed Usage Models</v>
          </cell>
        </row>
        <row r="14">
          <cell r="H14" t="str">
            <v>Requirements Modeling with the Aspect-oriented User Requirements Notation (AoURN): A Case Study</v>
          </cell>
        </row>
        <row r="15">
          <cell r="H15" t="str">
            <v>A domain specific requirements model for scientific computing: NIER track</v>
          </cell>
        </row>
        <row r="16">
          <cell r="H16" t="str">
            <v>A Goal-Oriented Requirements Engineering Method for Business Processes</v>
          </cell>
        </row>
        <row r="17">
          <cell r="H17" t="str">
            <v>Flexible Sketch-Based Requirements Modeling</v>
          </cell>
        </row>
        <row r="18">
          <cell r="H18" t="str">
            <v>User requirements modeling and analysis of software-intensive systems</v>
          </cell>
        </row>
        <row r="19">
          <cell r="H19" t="str">
            <v>An architecture-oriented model-driven requirements engineering approach</v>
          </cell>
        </row>
        <row r="20">
          <cell r="H20" t="str">
            <v>Requirements Engineering for Scientific Computing: A Model-Based Approach</v>
          </cell>
        </row>
        <row r="21">
          <cell r="H21" t="str">
            <v>Evaluating the use of model-based requirements verification method: A feasibility study</v>
          </cell>
        </row>
        <row r="22">
          <cell r="H22" t="str">
            <v>Evaluating requirements modeling methods based on user perceptions: A family of experiments</v>
          </cell>
        </row>
        <row r="23">
          <cell r="H23" t="str">
            <v>Towards a Requirements Modeling Language for Self-Adaptive Systems</v>
          </cell>
        </row>
        <row r="24">
          <cell r="H24" t="str">
            <v>Deriving software architectural models from requirements models for adaptive systems: the STREAM-A approach</v>
          </cell>
        </row>
        <row r="25">
          <cell r="H25" t="str">
            <v>A modeling language to support early lifecycle requirements modeling for systems engineering</v>
          </cell>
        </row>
        <row r="26">
          <cell r="H26" t="str">
            <v>BRM—A Behavior Based Requirements Modeling Method</v>
          </cell>
        </row>
        <row r="27">
          <cell r="H27" t="str">
            <v>The RE-Tools: A multi-notational requirements modeling toolkit</v>
          </cell>
        </row>
        <row r="28">
          <cell r="H28" t="str">
            <v>Model-Driven Development for Requirements Engineering: The Case of Goal-Oriented Approaches</v>
          </cell>
        </row>
        <row r="29">
          <cell r="H29" t="str">
            <v>Using machine learning to enhance automated requirements model transformation</v>
          </cell>
        </row>
        <row r="30">
          <cell r="H30" t="str">
            <v>Flexible, lightweight requirements modeling with Flexisketch</v>
          </cell>
        </row>
        <row r="31">
          <cell r="H31" t="str">
            <v>Requirements management within a full model-based engineering approach</v>
          </cell>
        </row>
        <row r="32">
          <cell r="H32" t="str">
            <v>Towards model-driven game engineering for serious educational games: Tailored use cases for game requirements</v>
          </cell>
        </row>
        <row r="33">
          <cell r="H33" t="str">
            <v>Analyzing the understandability of Requirements Engineering languages for CSCW systems: A family of experiments</v>
          </cell>
        </row>
        <row r="34">
          <cell r="H34" t="str">
            <v>PLANT: A pattern language for transforming scenarios into requirements models</v>
          </cell>
        </row>
        <row r="35">
          <cell r="H35" t="str">
            <v>Model-based approach for change propagation analysis in requirements</v>
          </cell>
        </row>
        <row r="36">
          <cell r="H36" t="str">
            <v>Feature-oriented stigmergy-based collaborative requirements modeling: an exploratory approach for requirements elicitation and evolution based on web-enabled collective intelligence</v>
          </cell>
        </row>
        <row r="37">
          <cell r="H37" t="str">
            <v>Intention-oriented programming support for runtime adaptive autonomic cloud-based applications</v>
          </cell>
        </row>
        <row r="38">
          <cell r="H38" t="str">
            <v>MIRA: A tooling-framework to experiment with model-based requirements engineering</v>
          </cell>
        </row>
        <row r="39">
          <cell r="H39" t="str">
            <v>Comparing the comprehensibility of requirements models expressed in Use Case and Tropos: Results from a family of experiments</v>
          </cell>
        </row>
        <row r="40">
          <cell r="H40" t="str">
            <v>SnapMind: A framework to support consistency and validation of model-based requirements in agile development</v>
          </cell>
        </row>
        <row r="41">
          <cell r="H41" t="str">
            <v>Agile requirements engineering via paraconsistent reasoning</v>
          </cell>
        </row>
        <row r="42">
          <cell r="H42" t="str">
            <v>Modeling the requirements for big data application using goal oriented approach</v>
          </cell>
        </row>
        <row r="43">
          <cell r="H43" t="str">
            <v>A requirements engineering methodology combining models and controlled natural language</v>
          </cell>
        </row>
        <row r="44">
          <cell r="H44" t="str">
            <v>Model-based requirement generation</v>
          </cell>
        </row>
        <row r="45">
          <cell r="H45" t="str">
            <v>INCREMENT: A Mixed MDE-IR Approach for Regulatory Requirements Modeling and Analysis</v>
          </cell>
        </row>
        <row r="46">
          <cell r="H46" t="str">
            <v>Change impact analysis for requirements: A metamodeling approach</v>
          </cell>
        </row>
        <row r="47">
          <cell r="H47" t="str">
            <v>A method and tool for tracing requirements into specifications</v>
          </cell>
        </row>
        <row r="48">
          <cell r="H48" t="str">
            <v>Requirement and interaction analysis using aspect-oriented modeling</v>
          </cell>
        </row>
        <row r="49">
          <cell r="H49" t="str">
            <v>CORAMOD: a checklist-oriented model-based requirements analysis approach</v>
          </cell>
        </row>
        <row r="50">
          <cell r="H50" t="str">
            <v>UML-based requirement modeling of Web online synchronous collaborative public participatory GIS</v>
          </cell>
        </row>
        <row r="51">
          <cell r="H51" t="str">
            <v>Developing a Novel Holistic Taxonomy of Security Requirements</v>
          </cell>
        </row>
        <row r="52">
          <cell r="H52" t="str">
            <v>Model-Based Requirements Engineering for Data Warehouses: From Multidimensional Modelling to KPI Monitoring</v>
          </cell>
        </row>
        <row r="53">
          <cell r="H53" t="str">
            <v>A semantic web enabled approach to reuse functional requirements models in web engineering</v>
          </cell>
        </row>
        <row r="54">
          <cell r="H54" t="str">
            <v>Extension Innovation Design of Product Family Based on Kano Requirement Model</v>
          </cell>
        </row>
        <row r="55">
          <cell r="H55" t="str">
            <v>Product Requirement Modeling and Optimization Method Based on Product Configuration Design</v>
          </cell>
        </row>
        <row r="56">
          <cell r="H56" t="str">
            <v>Modelling and reasoning about security requirements in socio-technical systems</v>
          </cell>
        </row>
        <row r="57">
          <cell r="H57" t="str">
            <v>Efficient Impact Analysis of Changes in the Requirements of Manufacturing Automation Systems</v>
          </cell>
        </row>
        <row r="58">
          <cell r="H58" t="str">
            <v>A Model-Based Approach for Requirements Engineering for Systems of Systems</v>
          </cell>
        </row>
        <row r="59">
          <cell r="H59" t="str">
            <v>Emotion-led modelling for people-oriented requirements engineering: The case study of emergency systems</v>
          </cell>
        </row>
        <row r="60">
          <cell r="H60" t="str">
            <v>Requirements change management based on object-oriented software engineering with unified modeling language</v>
          </cell>
        </row>
        <row r="61">
          <cell r="H61" t="str">
            <v>A Modular Requirements Engineering Framework for Web-Based Toolchain Integration</v>
          </cell>
        </row>
        <row r="62">
          <cell r="H62" t="str">
            <v>An Extended TASM-Based Requirements Modeling Approach for Real-Time Embedded Software: An Industrial Case Study</v>
          </cell>
        </row>
        <row r="63">
          <cell r="H63" t="str">
            <v>Supporting agent oriented requirement analysis with ontologies</v>
          </cell>
        </row>
        <row r="64">
          <cell r="H64" t="str">
            <v>A Security Requirements Modelling Language to Secure Cloud Computing Environments</v>
          </cell>
        </row>
        <row r="65">
          <cell r="H65" t="str">
            <v>Model driven approach for real-time requirement analysis of multi-agent systems</v>
          </cell>
        </row>
        <row r="66">
          <cell r="H66" t="str">
            <v>Toward model-based requirement engineering tool support</v>
          </cell>
        </row>
        <row r="67">
          <cell r="H67" t="str">
            <v>Transforming Multidisciplinary Customer Requirements to Product Design Specifications</v>
          </cell>
        </row>
        <row r="68">
          <cell r="H68" t="str">
            <v>Integration of Self-adaptation Approach on Requirements Modeling</v>
          </cell>
        </row>
        <row r="69">
          <cell r="H69" t="str">
            <v>Model Based Requirements Engineering for the Development of Modular Kits</v>
          </cell>
        </row>
        <row r="70">
          <cell r="H70" t="str">
            <v>CoSTest: A Tool for Validation of Requirements at Model Level</v>
          </cell>
        </row>
        <row r="71">
          <cell r="H71" t="str">
            <v>Model-based requirements engineering: Architecting for system requirements with stakeholders in mind</v>
          </cell>
        </row>
        <row r="72">
          <cell r="H72" t="str">
            <v>Requirements Engineering for Data Warehouses (RE4DW): From Strategic Goals to Multidimensional Model</v>
          </cell>
        </row>
        <row r="73">
          <cell r="H73" t="str">
            <v>Model-Based Requirements Management in Gear Systems Design Based On Graph-Based Design Languages</v>
          </cell>
        </row>
        <row r="74">
          <cell r="H74" t="str">
            <v>Towards Industry 4.0: Gap Analysis between Current Automotive MES and Industry Standards Using Model-Based Requirement Engineering</v>
          </cell>
        </row>
        <row r="75">
          <cell r="H75" t="str">
            <v>Model-based requirements specification of real-time systems with UML, SysML and MARTE</v>
          </cell>
        </row>
        <row r="76">
          <cell r="H76" t="str">
            <v>A Model-based Approach for Managing Criticality Requirements in e-Health IoT Systems</v>
          </cell>
        </row>
        <row r="77">
          <cell r="H77" t="str">
            <v>Model-Based Requirement Engineering to Support Development of Complex Systems</v>
          </cell>
        </row>
        <row r="78">
          <cell r="H78" t="str">
            <v>An Ontology-Based Approach to the Agile Requirements Engineering</v>
          </cell>
        </row>
        <row r="79">
          <cell r="H79" t="str">
            <v>A Chatbot for Goal-Oriented Requirements Modeling</v>
          </cell>
        </row>
        <row r="80">
          <cell r="H80" t="str">
            <v>An automated change impact analysis approach for User Requirements Notation models</v>
          </cell>
        </row>
        <row r="81">
          <cell r="H81" t="str">
            <v>A new Requirements Engineering approach for Manufacturing based on Petri Nets</v>
          </cell>
        </row>
        <row r="82">
          <cell r="H82" t="str">
            <v>RM2PT: A Tool for Automated Prototype Generation from Requirements Model</v>
          </cell>
        </row>
        <row r="83">
          <cell r="H83" t="str">
            <v>Generating UML Use Case Models from Software Requirements Using Natural Language Processing</v>
          </cell>
        </row>
        <row r="84">
          <cell r="H84" t="str">
            <v>Requirements Dependency Graph Modeling on Software Requirements Specification Using Text Analysis</v>
          </cell>
        </row>
        <row r="85">
          <cell r="H85" t="str">
            <v>Constructing True Model-Based Requirements in SysML</v>
          </cell>
        </row>
        <row r="86">
          <cell r="H86" t="str">
            <v>Eliciting user requirements for e-collaboration systems: a proposal for a multi-perspective modeling approach</v>
          </cell>
        </row>
        <row r="87">
          <cell r="H87" t="str">
            <v>Use, potential, and showstoppers of models in automotive requirements engineering</v>
          </cell>
        </row>
        <row r="88">
          <cell r="H88" t="str">
            <v>A security requirements modelling language for cloud computing environments</v>
          </cell>
        </row>
        <row r="89">
          <cell r="H89" t="str">
            <v>Applying Acceptance Requirements to Requirements Modeling Tools via Gamification: A Case Study on Privacy and Security</v>
          </cell>
        </row>
        <row r="90">
          <cell r="H90" t="str">
            <v>A WebGIS Interface Requirements Modeling Language</v>
          </cell>
        </row>
        <row r="91">
          <cell r="H91" t="str">
            <v>Modeling functional requirements using tacit knowledge: a design science research methodology informed approach</v>
          </cell>
        </row>
        <row r="92">
          <cell r="H92" t="str">
            <v>Automatic generation of Web service for the Praxeme software aspect from the ReLEL requirements model</v>
          </cell>
        </row>
        <row r="93">
          <cell r="H93" t="str">
            <v>Enabling model-based requirements engineering in a complex industrial System of Systems environment</v>
          </cell>
        </row>
        <row r="94">
          <cell r="H94" t="str">
            <v>Towards the Integration of Cybersecurity Risk Assessment into Model-based Requirements Engineering</v>
          </cell>
        </row>
        <row r="95">
          <cell r="H95" t="str">
            <v>Applying Model-based Requirements Engineering in Three Large European Collaborative Projects: An Experience Report</v>
          </cell>
        </row>
        <row r="96">
          <cell r="H96" t="str">
            <v>RM2Doc: A Tool for Automatic Generation of Requirements Documents from Requirements Models</v>
          </cell>
        </row>
        <row r="97">
          <cell r="H97" t="str">
            <v>Approach for model-based requirements engineering for the planning of engineering generations in the agile development of mechatronic systems</v>
          </cell>
        </row>
        <row r="98">
          <cell r="H98" t="str">
            <v>Formal requirements modeling for cyber-physical systems engineering: an integrated solution based on FORM-L and Modelica</v>
          </cell>
        </row>
        <row r="99">
          <cell r="H99" t="str">
            <v>MBIPV: a model-based approach for identifying privacy violations from software requirements</v>
          </cell>
        </row>
        <row r="100">
          <cell r="H100" t="str">
            <v>Aspects of modelling requirements in very-large agile systems engineering</v>
          </cell>
        </row>
        <row r="101">
          <cell r="H101" t="str">
            <v>RM4ML: requirements model for machine learning-enabled software systems</v>
          </cell>
        </row>
        <row r="102">
          <cell r="H102" t="str">
            <v>Multicriteria requirement ranking based on uncertain knowledge representation and reasoning</v>
          </cell>
        </row>
        <row r="103">
          <cell r="H103" t="str">
            <v>Requirements Structure for System Requirements Formal Modelling, Verification and Validation</v>
          </cell>
        </row>
        <row r="104">
          <cell r="H104" t="str">
            <v>Identifying Uncertainty in Large-Scale Industry 4.0 Software Projects Through Model-Based Requirements Engineering</v>
          </cell>
        </row>
        <row r="105">
          <cell r="H105" t="str">
            <v>Requirements Modeling and Automatic Transformations Towards Autonomous Driving Scenarios Description</v>
          </cell>
        </row>
        <row r="106">
          <cell r="H106" t="str">
            <v>User requirement modeling and evolutionary analysis based on review data: Supporting the design upgrade of product attributes</v>
          </cell>
        </row>
        <row r="107">
          <cell r="H107" t="str">
            <v>Towards model-based requirements engineering: Construction method of stakeholder value networks model based on MBSE</v>
          </cell>
        </row>
        <row r="108">
          <cell r="H108" t="str">
            <v>A Model-Driven Requirements Engineering Method for Human-Centered Digitalisation of Agriculture</v>
          </cell>
        </row>
        <row r="109">
          <cell r="H109" t="str">
            <v>An iterative approach for model-based requirements engineering in large collaborative projects: A detailed experience report</v>
          </cell>
        </row>
        <row r="110">
          <cell r="H110" t="str">
            <v>OCLVerifer: Automated verification of OCL contracts in requirements models</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authors_data_multi_inst.xlsx" TargetMode="External"/><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701.8233680556" refreshedBy="赵中培" recordCount="109">
  <cacheSource type="worksheet">
    <worksheetSource ref="A1:A1" sheet="all"/>
  </cacheSource>
  <cacheFields count="3">
    <cacheField name="Publication Year" numFmtId="0">
      <sharedItems containsSemiMixedTypes="0" containsString="0" containsNumber="1" containsInteger="1" minValue="0" maxValue="2025" count="16">
        <n v="2010"/>
        <n v="2011"/>
        <n v="2012"/>
        <n v="2013"/>
        <n v="2014"/>
        <n v="2015"/>
        <n v="2016"/>
        <n v="2017"/>
        <n v="2019"/>
        <n v="2020"/>
        <n v="2021"/>
        <n v="2023"/>
        <n v="2024"/>
        <n v="2018"/>
        <n v="2022"/>
        <n v="2025"/>
      </sharedItems>
    </cacheField>
    <cacheField name="Citation" numFmtId="0">
      <sharedItems containsSemiMixedTypes="0" containsString="0" containsNumber="1" containsInteger="1" minValue="0" maxValue="343" count="59">
        <n v="18"/>
        <n v="70"/>
        <n v="343"/>
        <n v="58"/>
        <n v="26"/>
        <n v="315"/>
        <n v="21"/>
        <n v="50"/>
        <n v="52"/>
        <n v="20"/>
        <n v="25"/>
        <n v="14"/>
        <n v="28"/>
        <n v="55"/>
        <n v="30"/>
        <n v="11"/>
        <n v="17"/>
        <n v="39"/>
        <n v="3"/>
        <n v="15"/>
        <n v="36"/>
        <n v="1"/>
        <n v="2"/>
        <n v="0"/>
        <n v="16"/>
        <n v="31"/>
        <n v="81"/>
        <n v="13"/>
        <n v="43"/>
        <n v="22"/>
        <n v="10"/>
        <n v="48"/>
        <n v="12"/>
        <n v="27"/>
        <n v="47"/>
        <n v="88"/>
        <n v="57"/>
        <n v="9"/>
        <n v="33"/>
        <n v="84"/>
        <n v="89"/>
        <n v="4"/>
        <n v="49"/>
        <n v="19"/>
        <n v="23"/>
        <n v="37"/>
        <n v="51"/>
        <n v="24"/>
        <n v="5"/>
        <n v="6"/>
        <n v="40"/>
        <n v="34"/>
        <n v="61"/>
        <n v="96"/>
        <n v="7"/>
        <n v="42"/>
        <n v="95"/>
        <n v="63"/>
        <n v="126"/>
      </sharedItems>
    </cacheField>
    <cacheField name="Region" numFmtId="0">
      <sharedItems count="33">
        <s v="France"/>
        <s v="Italy"/>
        <s v="Portugal"/>
        <s v="Germany"/>
        <s v="Switzerland"/>
        <s v="India"/>
        <s v="Brazil"/>
        <s v="China"/>
        <s v="Finland"/>
        <s v="Canada"/>
        <s v="Indonesia"/>
        <s v="Tunisie"/>
        <s v="Thailand"/>
        <s v="UK"/>
        <s v="Australia"/>
        <s v="USA"/>
        <s v="Luxembourg"/>
        <s v="Belgium"/>
        <s v="Spain"/>
        <s v="Denmark"/>
        <s v="Iran"/>
        <s v="Ecuador"/>
        <s v="Israel"/>
        <s v="Russia"/>
        <s v="Saudi Arabia"/>
        <s v="Macau"/>
        <s v="Bahrain"/>
        <s v="Madagascar"/>
        <s v="Austria"/>
        <s v="Netherlands"/>
        <s v="Greece"/>
        <s v="Sweden"/>
        <s v="Iceland"/>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5713.8307523148" refreshedBy="赵中培" recordCount="110">
  <cacheSource type="worksheet">
    <worksheetSource ref="O1:O1048576" sheet="ordering (selected papers)"/>
  </cacheSource>
  <cacheFields count="1">
    <cacheField name="Topic" numFmtId="0">
      <sharedItems containsBlank="1" count="42">
        <s v="nonfunctional requirements"/>
        <s v="heterogeneous models"/>
        <s v="contextual requirement modeling"/>
        <s v="model transformatio（model composition）"/>
        <s v="interdisciplinary requirements"/>
        <s v="lightweight modeling"/>
        <s v="general model or modeling"/>
        <s v="aspect-oriented requirements modeling"/>
        <s v="requirements analysis"/>
        <s v="goal-oriented requirement engineering"/>
        <s v="approach evaluation"/>
        <s v="requirements elicitation"/>
        <s v="business-IT alignment"/>
        <s v="Architecture-oriented requirement engineering"/>
        <s v="requirements management"/>
        <s v="verification and validation"/>
        <s v="domain specific model"/>
        <s v="model transformation"/>
        <s v="behavior-based requirements modeling"/>
        <s v="modeling tools"/>
        <s v="comprehensibility evaluation"/>
        <s v="model transformation（scenario to model）"/>
        <s v="requirement change"/>
        <s v="agile requirement engineering"/>
        <s v="model transformation（requirements generation）"/>
        <s v="security requirement"/>
        <s v="model reuse"/>
        <s v="emotion-led modeling"/>
        <s v="real-time requirements"/>
        <s v="automotive requirement engineering"/>
        <s v="critical requirements"/>
        <s v="model transformation（model generation）"/>
        <s v="functional requirements"/>
        <s v="model transformation（M2M、M2T）"/>
        <s v="risk assessment"/>
        <s v="requirements violation detection"/>
        <s v="requirements analysis（ranking）"/>
        <s v="model transformation（model to model）"/>
        <m/>
        <s v="dependability requirements" u="1"/>
        <s v="approach comparison" u="1"/>
        <s v="requirements composition" u="1"/>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5704.8339583333" refreshedBy="赵中培" recordCount="110">
  <cacheSource type="worksheet">
    <worksheetSource ref="K1:K1048576" sheet="ordering (selected papers)"/>
  </cacheSource>
  <cacheFields count="1">
    <cacheField name="Publication Title" numFmtId="0">
      <sharedItems containsBlank="1" count="84">
        <s v="2010 IEEE International Systems Conference"/>
        <s v="2010 15th IEEE International Conference on Engineering of Complex Computer Systems"/>
        <s v="Requirements Engineering"/>
        <s v="Software Language Engineering"/>
        <s v="2010 Fifth International Workshop on Requirements Engineering Visualization"/>
        <s v="2010 18th IEEE International Requirements Engineering Conference"/>
        <s v="2010 International Conference on Advances in Recent Technologies in Communication and Computing"/>
        <s v="Transactions on Aspect-Oriented Software Development VII: A Common Case Study for Aspect-Oriented Modeling"/>
        <s v="Information and Software Technology"/>
        <s v="Leveraging Applications of Formal Methods, Verification, and Validation"/>
        <s v="2011 33rd International Conference on Software Engineering (ICSE)"/>
        <s v="Information Systems Evolution"/>
        <s v="Requirements Engineering: Foundation for Software Quality"/>
        <s v="Journal of Systems and Software"/>
        <s v="2011 Model-Driven Requirements Engineering Workshop"/>
        <s v="2011 IEEE Seventh International Conference on e-Science Workshops"/>
        <s v="Workshop on Empirical Requirements Engineering (EmpiRE 2011)"/>
        <s v="Information Sciences"/>
        <s v="Conference on Systems Engineering Research"/>
        <s v="Software Engineering and Knowledge Engineering: Theory and Practice"/>
        <s v="2012 20th IEEE International Requirements Engineering Conference (RE)"/>
        <s v="2012 Eighth International Conference on the Quality of Information and Communications Technology"/>
        <s v="2012 34th International Conference on Software Engineering (ICSE)"/>
        <s v="Systems Engineering"/>
        <s v="2012 17th International Conference on Computer Games (CGAMES)"/>
        <s v="International Journal of Human-Computer Studies"/>
        <s v="2013 IEEE International Systems Conference (SysCon)"/>
        <s v="Science China Information Sciences"/>
        <s v="Computers &amp; Electrical Engineering"/>
        <s v="2013 21st IEEE International Requirements Engineering Conference (RE)"/>
        <s v="2014 IEEE 4th International Model-Driven Requirements Engineering Workshop (MoDRE)"/>
        <s v="Information Systems"/>
        <s v="2014 International Conference on Data and Software Engineering (ICODSE)"/>
        <s v="2014 IEEE Aerospace Conference"/>
        <s v="Special Issue on Automated Verification of Critical Systems (AVoCS’11)"/>
        <s v="2014 IEEE International Advance Computing Conference (IACC)"/>
        <s v="Applied Geomatics"/>
        <s v="Proceedings of the 2015 International Conference on Soft Computing and Software Engineering (SCSE'15)"/>
        <s v="Advances in Conceptual Modeling"/>
        <s v="Automated Software Engineering"/>
        <s v="3rd International Conference on Information Technology and Quantitative Management, ITQM 2015"/>
        <s v="CIRP 25th Design Conference Innovative Product Creation"/>
        <s v="Research on conceptual modeling"/>
        <s v="15th IFAC Symposium onInformation Control Problems inManufacturing"/>
        <s v="IEEE Systems Journal"/>
        <s v="2016 7th IEEE International Conference on Software Engineering and Service Science (ICSESS)"/>
        <s v="2016 IEEE 24th International Requirements Engineering Conference (RE)"/>
        <s v="Software Engineering and Methodology for Emerging Domains"/>
        <s v="Enterprise, Business-Process and Information Systems Modeling"/>
        <s v="Computer Languages, Systems &amp; Structures"/>
        <s v="2017 IEEE Aerospace Conference"/>
        <s v="Chinese Journal of Mechanical Engineering"/>
        <s v="Recent Advances on Soft Computing and Data Mining"/>
        <s v="Complex Systems Engineering and Development Proceedings of the 27th CIRP Design Conference Cranfield University, UK 10th – 12th May 2017"/>
        <s v="2017 IEEE 25th International Requirements Engineering Conference (RE)"/>
        <s v="2017 IEEE International Systems Engineering Symposium (ISSE)"/>
        <s v="Applied Sciences"/>
        <s v="2017 IEEE International Conference on Software Architecture Workshops (ICSAW)"/>
        <s v="Software &amp; Systems Modeling"/>
        <s v="2018 13th Annual Conference on System of Systems Engineering (SoSE)"/>
        <s v="29th CIRP Design Conference 2019, 08-10 May 2019, Póvoa de Varzim, Portgal"/>
        <s v="Perspectives of System Informatics"/>
        <s v="Computational Science and Its Applications – ICCSA 2019"/>
        <s v="13th IFAC Workshop on Intelligent Manufacturing Systems IMS 2019"/>
        <s v="2019 IEEE/ACM 41st International Conference on Software Engineering: Companion Proceedings (ICSE-Companion)"/>
        <s v="2019 8th International Conference on Modeling Simulation and Applied Optimization (ICMSAO)"/>
        <s v="2019 1st International Conference on Cybernetics and Intelligent System (ICORIS)"/>
        <s v="Systems"/>
        <s v="Software and Systems Modeling"/>
        <s v="The Practice of Enterprise Modeling"/>
        <s v="Research Challenges in Information Science"/>
        <s v="The 12th International Conference on Ambient Systems, Networks and Technologies (ANT) / The 4th International Conference on Emerging Data and Industry 4.0 (EDI40) / Affiliated Workshops"/>
        <s v="2021 26th IEEE International Conference on Emerging Technologies and Factory Automation (ETFA )"/>
        <s v="2021 IEEE 29th International Requirements Engineering Conference (RE)"/>
        <s v="2022 IEEE/ACM 44th International Conference on Software Engineering: Companion Proceedings (ICSE-Companion)"/>
        <s v="32nd CIRP Design Conference (CIRP Design 2022) - Design in a changing world"/>
        <s v="Advanced Engineering Informatics"/>
        <s v="18th IFAC Symposium on Information Control Problems in Manufacturing INCOM 2024"/>
        <s v="Enterprise Interoperability X: Enterprise Interoperability Through Connected Digital Twins"/>
        <s v="Intelligent Systems and Applications"/>
        <s v="Computers &amp; Industrial Engineering"/>
        <s v="2024 IEEE 32nd International Requirements Engineering Conference (RE)"/>
        <s v="Science of Computer Programming"/>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5706.5615856481" refreshedBy="赵中培" recordCount="110">
  <cacheSource type="worksheet">
    <worksheetSource ref="J1:J1048576" sheet="ordering (selected papers)"/>
  </cacheSource>
  <cacheFields count="1">
    <cacheField name="Publisher" numFmtId="0">
      <sharedItems containsBlank="1" count="8">
        <s v="IEEE"/>
        <s v="Springer"/>
        <s v="Elsevier"/>
        <s v="IEEE/ACM"/>
        <s v="Wiley"/>
        <s v="Science China Press"/>
        <s v="MDPI"/>
        <m/>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5" refreshedVersion="5" minRefreshableVersion="3" refreshedDate="45712.6545717593" refreshedBy="赵中培" recordCount="0">
  <cacheSource type="worksheet">
    <worksheetSource ref="D1:D1048576" sheet="ordering (selected papers)"/>
  </cacheSource>
  <cacheFields count="1">
    <cacheField name="Item Type" numFmtId="0">
      <sharedItems containsBlank="1" count="5">
        <s v="conferencePaper"/>
        <s v="journalArticle"/>
        <s v="workshopPaper"/>
        <s v="bookSection"/>
        <m/>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5" refreshedVersion="5" minRefreshableVersion="3" refreshedDate="45721.8717939815" refreshedBy="赵中培" recordCount="109">
  <cacheSource type="worksheet">
    <worksheetSource ref="N1:N110" sheet="evaluation"/>
  </cacheSource>
  <cacheFields count="1">
    <cacheField name="Score" numFmtId="0">
      <sharedItems containsSemiMixedTypes="0" containsString="0" containsNumber="1" minValue="0" maxValue="6" count="9">
        <n v="2"/>
        <n v="5"/>
        <n v="6"/>
        <n v="4"/>
        <n v="3"/>
        <n v="4.5"/>
        <n v="5.5"/>
        <n v="3.5"/>
        <n v="2.5"/>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5" refreshedVersion="5" minRefreshableVersion="3" refreshedDate="46024.7376041667" refreshedBy="赵中培" recordCount="401">
  <cacheSource type="worksheet">
    <worksheetSource ref="A1:J402" sheet="All-Author-Data" r:id="rId2"/>
  </cacheSource>
  <cacheFields count="10">
    <cacheField name="Original_DOI" numFmtId="0">
      <sharedItems count="107">
        <s v="10.1109/SYSTEMS.2010.5482456"/>
        <s v="10.1109/ICECCS.2010.2"/>
        <s v="10.1007/s00766-010-0110-z"/>
        <s v="10.1007/978-3-642-12107-4_8"/>
        <s v="10.1109/REV.2010.5625659"/>
        <s v="10.1109/RE.2010.73"/>
        <s v="10.1109/ARTCom.2010.24"/>
        <s v="10.1007/978-3-642-16086-8_5"/>
        <s v="10.1016/j.infsof.2010.03.010"/>
        <s v="10.1109/RE.2010.60"/>
        <s v="10.1007/978-3-642-16558-0_48"/>
        <s v="10.1109/RE.2010.49"/>
        <s v="10.1007/978-3-642-16086-8_2"/>
        <s v="10.1145/1985793.1985922"/>
        <s v="10.1007/978-3-642-17722-4_3"/>
        <s v="10.1016/j.jss.2010.10.020"/>
        <s v="10.1109/MoDRE.2011.6045364"/>
        <s v="10.1109/eScienceW.2011.30"/>
        <s v="10.1109/EmpiRE.2011.6046248"/>
        <s v="10.1016/j.ins.2011.04.005"/>
        <s v="10.1007/978-3-642-28714-5_24"/>
        <s v="10.1007/s00766-011-0126-z"/>
        <s v="10.1016/j.procs.2012.01.043"/>
        <s v="10.1007/978-3-642-03718-4_139"/>
        <s v="10.1109/RE.2012.6345831"/>
        <s v="10.1109/QUATIC.2012.38"/>
        <s v="10.1109/ICSE.2012.6227055"/>
        <s v="10.1109/RE.2012.6345826"/>
        <s v="10.1002/sys.20198"/>
        <s v="10.1109/CGames.2012.6314577"/>
        <s v="10.1016/j.infsof.2012.06.001"/>
        <s v="10.1016/j.ijhcs.2013.08.001"/>
        <s v="10.1109/SysCon.2013.6549928"/>
        <s v="10.1007/s11432-013-4912-8"/>
        <s v="10.1016/j.compeleceng.2013.04.019"/>
        <s v="10.1109/RE.2013.6636740"/>
        <s v="10.1016/j.infsof.2013.05.003"/>
        <s v="10.1109/MoDRE.2014.6890825"/>
        <s v="10.1016/j.is.2013.05.008"/>
        <s v="10.1109/ICODSE.2014.7062702"/>
        <s v="10.1109/MoDRE.2014.6890827"/>
        <s v="10.1109/AERO.2014.6836450"/>
        <s v="10.1007/978-3-319-05843-6_11"/>
        <s v="10.1016/j.infsof.2014.03.002"/>
        <s v="10.1016/j.scico.2013.03.008"/>
        <s v="10.1109/IAdCC.2014.6779539"/>
        <s v="10.1007/s00766-012-0154-3"/>
        <s v="10.1007/s12518-015-0154-3"/>
        <s v="10.1016/j.procs.2015.08.442"/>
        <s v="10.1007/978-3-319-25747-1_20"/>
        <s v="10.1007/s10515-014-0144-4"/>
        <s v="10.1016/j.procs.2015.07.045"/>
        <s v="10.1016/j.procir.2015.01.020"/>
        <s v="10.1016/j.datak.2015.07.007"/>
        <s v="10.1016/j.ifacol.2015.06.296"/>
        <s v="10.1109/JSYST.2014.2312051"/>
        <s v="10.1016/j.jss.2015.03.044"/>
        <s v="10.1109/ICSESS.2016.7883005"/>
        <s v="10.1109/RE.2016.49"/>
        <s v="10.1007/978-981-10-3482-4_2"/>
        <s v="10.1016/j.ijhcs.2015.10.007"/>
        <s v="10.1007/978-3-319-59466-8_21"/>
        <s v="10.1016/j.cl.2017.05.006"/>
        <s v="10.1109/AERO.2017.7943647"/>
        <s v="10.1007/s10033-017-0181-6"/>
        <s v="10.1007/978-3-319-51281-5_24"/>
        <s v="10.1016/j.procir.2017.01.032"/>
        <s v="10.1109/RE.2017.69"/>
        <s v="10.1109/SysEng.2017.8088273"/>
        <s v="10.1007/978-3-319-70625-2_13"/>
        <s v="10.3390/app7111112"/>
        <s v="10.1109/ICSAW.2017.53"/>
        <s v="10.1007/s10270-016-0525-1"/>
        <s v="10.1109/SYSOSE.2018.8428764"/>
        <s v="10.1016/j.procir.2019.04.345"/>
        <s v="10.1007/978-3-030-37487-7_17"/>
        <s v="10.1007/978-3-030-24305-0_38"/>
        <s v="10.1016/j.jss.2019.110397"/>
        <s v="10.1016/j.ifacol.2019.10.006"/>
        <s v="10.1109/ICSE-Companion.2019.00038"/>
        <s v="10.1109/ICMSAO.2019.8880431"/>
        <s v="10.1109/ICORIS.2019.8874920"/>
        <s v="10.3390/systems7020019"/>
        <s v="10.1007/s00766-017-0285-7"/>
        <s v="10.1007/s10270-018-0683-4"/>
        <s v="10.1007/s10270-019-00747-8"/>
        <s v="10.1007/978-3-030-63479-7_25"/>
        <s v="10.1007/978-3-030-75018-3_17"/>
        <s v="10.1007/s00766-020-00330-4"/>
        <s v="10.1016/j.procs.2021.03.098"/>
        <s v="10.1109/ETFA45728.2021.9613700"/>
        <s v="10.1109/RE51729.2021.00037"/>
        <s v="10.1145/3510454.3516850"/>
        <s v="10.1016/j.procir.2022.05.293"/>
        <s v="10.1007/s00766-021-00359-z"/>
        <s v="10.1007/s10270-022-01072-3"/>
        <s v="10.1016/j.jss.2023.111628"/>
        <s v="10.1007/s00766-024-00431-4"/>
        <s v="10.1016/j.aei.2023.102329"/>
        <s v="10.1016/j.ifacol.2024.09.194"/>
        <s v="10.1007/978-3-031-24771-2_2"/>
        <s v="10.1007/978-3-031-47718-8_53"/>
        <s v="10.1016/j.aei.2024.102861"/>
        <s v="10.1016/j.cie.2024.110398"/>
        <s v="10.1109/RE59067.2024.00064"/>
        <s v="10.1016/j.scico.2023.103047"/>
        <s v="10.1016/j.scico.2024.103197"/>
      </sharedItems>
    </cacheField>
    <cacheField name="Paper_Title" numFmtId="0">
      <sharedItems count="107">
        <s v="Engineering dependability requirements for complex systems &amp;amp;#x2014; A new information model definition"/>
        <s v="A Model for Requirements Traceability in a Heterogeneous Model-Based Design Process: Application to Automotive Embedded Systems"/>
        <s v="A goal-based framework for contextual requirements modeling and analysis"/>
        <s v="Multi-view Composition Language for Software Product Line Requirements"/>
        <s v="Towards a unified Requirements Modeling Language"/>
        <s v="Very Lightweight Requirements Modeling"/>
        <s v="An Effective Requirement Engineering Process Model for Software Development and Requirements Management"/>
        <s v="Using VCL as an Aspect-Oriented Approach to Requirements Modelling"/>
        <s v="Case-based analysis in user requirements modelling for knowledge construction"/>
        <s v="Mdgore: Towards Model-Driven and Goal-Oriented Requirements Engineering"/>
        <s v="SPARDL: A Requirement Modeling Language for Periodic Control System"/>
        <s v="Model Based Requirements Analysis and Testing of Automotive Systems with Timed Usage Models"/>
        <s v="Requirements Modeling with the Aspect-oriented User Requirements Notation (AoURN): A Case Study"/>
        <s v="A domain specific requirements model for scientific computing (NIER track)"/>
        <s v="A Goal-Oriented Requirements Engineering Method for Business Processes"/>
        <s v="User requirements modeling and analysis of software-intensive systems"/>
        <s v="An architecture-oriented model-driven requirements engineering approach"/>
        <s v="Requirements Engineering for Scientific Computing: A Model-Based Approach"/>
        <s v="Evaluating the use of model-based requirements verification method: A feasibility study"/>
        <s v="Evaluating requirements modeling methods based on user perceptions: A family of experiments"/>
        <s v="Towards a Requirements Modeling Language for Self-Adaptive Systems"/>
        <s v="Deriving software architectural models from requirements models for adaptive systems: the STREAM-A approach"/>
        <s v="A modeling language to support early lifecycle requirements modeling for systems engineering"/>
        <s v="BRM—A Behavior Based Requirements Modeling Method"/>
        <s v="The RE-Tools: A multi-notational requirements modeling toolkit"/>
        <s v="Model-Driven Development for Requirements Engineering: The Case of Goal-Oriented Approaches"/>
        <s v="Using machine learning to enhance automated requirements model transformation"/>
        <s v="Flexible, lightweight requirements modeling with Flexisketch"/>
        <s v="Requirements management within a full model‐based engineering approach"/>
        <s v="Towards model-driven game engineering for serious educational games: Tailored use cases for game requirements"/>
        <s v="Analyzing the understandability of Requirements Engineering languages for CSCW systems: A family of experiments"/>
        <s v="PLANT: A pattern language for transforming scenarios into requirements models"/>
        <s v="Model-based approach for change propagation analysis in requirements"/>
        <s v="Feature-oriented stigmergy-based collaborative requirements modeling: an exploratory approach for requirements elicitation and evolution based on web-enabled collective intelligence"/>
        <s v="Intention-oriented programming support for runtime adaptive autonomic cloud-based applications"/>
        <s v="MIRA: A tooling-framework to experiment with model-based requirements engineering"/>
        <s v="Comparing the comprehensibility of requirements models expressed in Use Case and Tropos: Results from a family of experiments"/>
        <s v="SnapMind: A framework to support consistency and validation of model-based requirements in agile development"/>
        <s v="Agile requirements engineering via paraconsistent reasoning"/>
        <s v="Modeling the requirements for big data application using goal oriented approach"/>
        <s v="A requirements engineering methodology combining models and controlled natural language"/>
        <s v="Model-based requirement generation"/>
        <s v="INCREMENT: A Mixed MDE-IR Approach for Regulatory Requirements Modeling and Analysis"/>
        <s v="Change impact analysis for requirements: A metamodeling approach"/>
        <s v="A method and tool for tracing requirements into specifications"/>
        <s v="Requirement and interaction analysis using aspect-oriented modeling"/>
        <s v="CORAMOD: a checklist-oriented model-based requirements analysis approach"/>
        <s v="UML-based requirement modeling of Web online synchronous collaborative public participatory GIS"/>
        <s v="Developing a Novel Holistic Taxonomy of Security Requirements"/>
        <s v="Model-Based Requirements Engineering for Data Warehouses: From Multidimensional Modelling to KPI Monitoring"/>
        <s v="A semantic web enabled approach to reuse functional requirements models in web engineering"/>
        <s v="Extension Innovation Design of Product Family Based on Kano Requirement Model"/>
        <s v="Product Requirement Modeling and Optimization Method Based on Product Configuration Design"/>
        <s v="Modelling and reasoning about security requirements in socio-technical systems"/>
        <s v="Efficient Impact Analysis of Changes in the Requirements of Manufacturing Automation Systems"/>
        <s v="A Model-Based Approach for Requirements Engineering for Systems of Systems"/>
        <s v="Emotion-led modelling for people-oriented requirements engineering: The case study of emergency systems"/>
        <s v="Requirements change management based on object-oriented software engineering with unified modeling language"/>
        <s v="A Modular Requirements Engineering Framework for Web-Based Toolchain Integration"/>
        <s v="An Extended TASM-Based Requirements Modeling Approach for Real-Time Embedded Software: An Industrial Case Study"/>
        <s v="Supporting agent oriented requirement analysis with ontologies"/>
        <s v="A Security Requirements Modelling Language to Secure Cloud Computing Environments"/>
        <s v="Model driven approach for real-time requirement analysis of multi-agent systems"/>
        <s v="Toward model-based requirement engineering tool support"/>
        <s v="Transforming Multidisciplinary Customer Requirements to Product Design Specifications"/>
        <s v="Integration of Self-adaptation Approach on Requirements Modeling"/>
        <s v="Model Based Requirements Engineering for the Development of Modular Kits"/>
        <s v="CoSTest: A Tool for Validation of Requirements at Model Level"/>
        <s v="Model-based requirements engineering: Architecting for system requirements with stakeholders in mind"/>
        <s v="Requirements Engineering for Data Warehouses (RE4DW): From Strategic Goals to Multidimensional Model"/>
        <s v="Model-Based Requirements Management in Gear Systems Design Based On Graph-Based Design Languages"/>
        <s v="Towards Industry 4.0: Gap Analysis between Current Automotive MES and Industry Standards Using Model-Based Requirement Engineering"/>
        <s v="Model-based requirements specification of real-time systems with UML, SysML and MARTE"/>
        <s v="A Model-based Approach for Managing Criticality Requirements in e-Health IoT Systems"/>
        <s v="Model-Based Requirement Engineering to Support Development of Complex Systems"/>
        <s v="An Ontology-Based Approach to the Agile Requirements Engineering"/>
        <s v="A Chatbot for Goal-Oriented Requirements Modeling"/>
        <s v="An automated change impact analysis approach for User Requirements Notation models"/>
        <s v="A new Requirements Engineering approach for Manufacturing based on Petri Nets"/>
        <s v="RM2PT: A Tool for Automated Prototype Generation from Requirements Model"/>
        <s v="Generating UML Use Case Models from Software Requirements Using Natural Language Processing"/>
        <s v="Requirements Dependency Graph Modeling on Software Requirements Specification Using Text Analysis"/>
        <s v="Constructing True Model-Based Requirements in SysML"/>
        <s v="Eliciting user requirements for e-collaboration systems: a proposal for a multi-perspective modeling approach"/>
        <s v="Use, potential, and showstoppers of models in automotive requirements engineering"/>
        <s v="A security requirements modelling language for cloud computing environments"/>
        <s v="Applying Acceptance Requirements to Requirements Modeling Tools via Gamification: A Case Study on Privacy and Security"/>
        <s v="A WebGIS Interface Requirements Modeling Language"/>
        <s v="Modeling functional requirements using tacit knowledge: a design science research methodology informed approach"/>
        <s v="Automatic generation of Web service for the Praxeme software aspect from the ReLEL requirements model"/>
        <s v="Enabling model-based requirements engineering in a complex industrial System of Systems environment"/>
        <s v="Towards the Integration of Cybersecurity Risk Assessment into Model-based Requirements Engineering"/>
        <s v="RM2Doc"/>
        <s v="Approach for model-based requirements engineering for the planning of engineering generations in the agile development of mechatronic systems"/>
        <s v="Formal requirements modeling for cyber-physical systems engineering: an integrated solution based on FORM-L and Modelica"/>
        <s v="MBIPV: a model-based approach for identifying privacy violations from software requirements"/>
        <s v="Aspects of modelling requirements in very-large agile systems engineering"/>
        <s v="RM4ML: requirements model for machine learning-enabled software systems"/>
        <s v="Multicriteria requirement ranking based on uncertain knowledge representation and reasoning"/>
        <s v="Requirements Structure for System Requirements Formal Modelling, Verification and Validation"/>
        <s v="Identifying Uncertainty in Large-Scale Industry 4.0 Software Projects Through Model-Based Requirements Engineering"/>
        <s v="Requirements Modeling and Automatic Transformations Towards Autonomous Driving Scenarios Description"/>
        <s v="User requirement modeling and evolutionary analysis based on review data: Supporting the design upgrade of product attributes"/>
        <s v="Towards model-based requirements engineering: Construction method of stakeholder value networks model based on MBSE"/>
        <s v="A Model-Driven Requirements Engineering Method for Human-Centered Digitalisation of Agriculture"/>
        <s v="An iterative approach for model-based requirements engineering in large collaborative projects: A detailed experience report"/>
        <s v="OCLVerifer: Automated verification of OCL contracts in requirements models"/>
      </sharedItems>
    </cacheField>
    <cacheField name="Year" numFmtId="0">
      <sharedItems containsSemiMixedTypes="0" containsString="0" containsNumber="1" containsInteger="1" minValue="0" maxValue="2024" count="15">
        <n v="2010"/>
        <n v="2011"/>
        <n v="2012"/>
        <n v="2013"/>
        <n v="2014"/>
        <n v="2015"/>
        <n v="2016"/>
        <n v="2017"/>
        <n v="2018"/>
        <n v="2019"/>
        <n v="2020"/>
        <n v="2021"/>
        <n v="2022"/>
        <n v="2023"/>
        <n v="2024"/>
      </sharedItems>
    </cacheField>
    <cacheField name="Author_Name" numFmtId="0">
      <sharedItems count="352">
        <s v="Romaric Guillerm"/>
        <s v="Hamid Demmou"/>
        <s v="Nassima Sadou"/>
        <s v="Hubert Dubois"/>
        <s v="Marie-Agnès Peraldi-Frati"/>
        <s v="Fadoi Lakhal"/>
        <s v="Raian Ali"/>
        <s v="Fabiano Dalpiaz"/>
        <s v="Paolo Giorgini"/>
        <s v="Mauricio Alférez"/>
        <s v="Jõao Santos"/>
        <s v="Ana Moreira"/>
        <s v="Alessandro Garcia"/>
        <s v="Uirá Kulesza"/>
        <s v="João Araújo"/>
        <s v="Vasco Amaral"/>
        <s v="Jonas Helming"/>
        <s v="Maximilian Koegel"/>
        <s v="Florian Schneider"/>
        <s v="M. Haeger"/>
        <s v="Christine Kaminski"/>
        <s v="Bernd Bruegge"/>
        <s v="Brian Berenbach"/>
        <s v="Martin Glinz"/>
        <s v="Dhirendra Pandey"/>
        <s v="Ugrasen Suman"/>
        <s v="A.K. Ramani"/>
        <s v="Nuno Amálio"/>
        <s v="Pierre Kelsen"/>
        <s v="Qin Ma"/>
        <s v="Christian Glodt"/>
        <s v="Lily Sun"/>
        <s v="Cleopa John Mushi"/>
        <s v="Rui Monteiro"/>
        <s v="Pedro Patrício"/>
        <s v="Zheng Wang"/>
        <s v="Jianwen Li"/>
        <s v="Yongxin Zhao"/>
        <s v="Yanxia Qi"/>
        <s v="Geguang Pu"/>
        <s v="Jifeng He"/>
        <s v="Bin Gu"/>
        <s v="Sebastian Siegl"/>
        <s v="Kai-Steffen Hielscher"/>
        <s v="Reinhard German"/>
        <s v="Gunter Mussbacher"/>
        <s v="Daniel Amyot"/>
        <s v="Yang Li"/>
        <s v="Nitesh Narayan"/>
        <s v="Ken Decreus"/>
        <s v="Geert Poels"/>
        <s v="Michel S. Soares"/>
        <s v="Jos Vrancken"/>
        <s v="Alexander Verbraeck"/>
        <s v="Grzogorz Loniewski"/>
        <s v="Ausias Armesto"/>
        <s v="Emilio Insfrán"/>
        <s v="Matteo Harutunian"/>
        <s v="Gerrit Buse"/>
        <s v="Daniel Aceituna"/>
        <s v="Hyunsook Do"/>
        <s v="Gursimran Walia"/>
        <s v="Seok-Won Lee"/>
        <s v="Silvia Abrahão"/>
        <s v="José Á. Carsí"/>
        <s v="Marcela Genero"/>
        <s v="Nauman A. Qureshi"/>
        <s v="Ivan Jureta"/>
        <s v="Anna Perini"/>
        <s v="João Pimentel"/>
        <s v="Márcia Lucena"/>
        <s v="Jaelson Castro"/>
        <s v="Carla Silva"/>
        <s v="Emanuel Santos"/>
        <s v="Fernanda Alencar"/>
        <s v="Helmut Naughton"/>
        <s v="Li Wan"/>
        <s v="Bo Huang"/>
        <s v="Xiang Ling"/>
        <s v="Guoqing Wu"/>
        <s v="Sam Supakkul"/>
        <s v="Lawrence Chung"/>
        <s v="Miguel Goulão"/>
        <s v="Erol-Valeriu Chioasca"/>
        <s v="Dustin Wüest"/>
        <s v="Norbert Seyff"/>
        <s v="Yves Bernard"/>
        <s v="Kendra Cooper"/>
        <s v="C. Shaun Longstreet"/>
        <s v="Miguel A. Teruel"/>
        <s v="Elena Navarro"/>
        <s v="Víctor López‐Jaquero"/>
        <s v="Francisco Montero"/>
        <s v="Juan Javier"/>
        <s v="Pascual González"/>
        <s v="Yu Wang"/>
        <s v="Liping Zhao"/>
        <s v="Xinyu Wang"/>
        <s v="Xiaohu Yang"/>
        <s v="Sarayut Nonsiri"/>
        <s v="Éric Coatanéa"/>
        <s v="Mohamed Bakhouya"/>
        <s v="Faisal Mokammel"/>
        <s v="Wei Zhang"/>
        <s v="Yi Li"/>
        <s v="Haiyan Zhao"/>
        <s v="Zhi Jin"/>
        <s v="Thar Baker"/>
        <s v="Michael Mackay"/>
        <s v="Martin Randles"/>
        <s v="A. Taleb-Bendiab"/>
        <s v="Sabine Teufl"/>
        <s v="Dongyue Mou"/>
        <s v="Daniel Ratiu"/>
        <s v="Irit Hadar"/>
        <s v="Iris Reinhartz-Berger"/>
        <s v="Tsvi Kuflik"/>
        <s v="Filippo Ricca"/>
        <s v="Angelo Susi"/>
        <s v="Fernando Wanderley"/>
        <s v="Antonio Silva Sprock"/>
        <s v="Denis Silva da Silveira"/>
        <s v="Neil Ernst"/>
        <s v="Alexander Borgida"/>
        <s v="John Mylopoulos"/>
        <s v="Hanif Eridaputra"/>
        <s v="Bayu Hendradjaya"/>
        <s v="Wikan Danar Sunindyo"/>
        <s v="Markus Fockel"/>
        <s v="Jörg Holtmann"/>
        <s v="Brian London"/>
        <s v="Piero Miotto"/>
        <s v="Nicolas Sannier"/>
        <s v="Benoît Baudry"/>
        <s v="Arda Göknil"/>
        <s v="Ivan Kurtev"/>
        <s v="Klaas van den Berg"/>
        <s v="Wietze Spijkerman"/>
        <s v="Stefan Hallerstede"/>
        <s v="Michael Jastram"/>
        <s v="Lukas Ladenberger"/>
        <s v="Sagar Mohite"/>
        <s v="Rashmi Phalnikar"/>
        <s v="Manjusha Joshi"/>
        <s v="Shashank Joshi"/>
        <s v="Swati Jadhav"/>
        <s v="William Brace"/>
        <s v="Kalevi Ekman"/>
        <s v="Muhammad Atif Butt"/>
        <s v="Songnian Li"/>
        <s v="Neila Rjaibi"/>
        <s v="Latifa Ben Arfa Rabai"/>
        <s v="Azadeh Nasiri"/>
        <s v="Robert Wrembel"/>
        <s v="Esteban Zimányi"/>
        <s v="Samad Paydar"/>
        <s v="Mohsen Kahani"/>
        <s v="Yongqiang Liao"/>
        <s v="Chunyan Yang"/>
        <s v="Weihua Li"/>
        <s v="Wei. Wei"/>
        <s v="Ang Liu"/>
        <s v="Stephen C.-Y. Lu"/>
        <s v="Thorsten Wuest"/>
        <s v="Elda Paja"/>
        <s v="Georg Hackenberg"/>
        <s v="Jon Holt"/>
        <s v="Simon Perry"/>
        <s v="Richard Payne"/>
        <s v="Jeremy Bryans"/>
        <s v="Finn Overgaard Hansen"/>
        <s v="Tim Miller"/>
        <s v="Sonja Pedell"/>
        <s v="Antonio A. Lopez-Lorca"/>
        <s v="Antonette Mendoza"/>
        <s v="Leon Sterling"/>
        <s v="Alen Keirnan"/>
        <s v="Jessada Tomyim"/>
        <s v="Amnart Pohthong"/>
        <s v="Robert Darimont"/>
        <s v="Wei Zhao"/>
        <s v="Christophe Ponsard"/>
        <s v="Arnaud Michot"/>
        <s v="Jin-Hui Shan"/>
        <s v="Jinbo Wang"/>
        <s v="Ruixue Wang"/>
        <s v="Cheng-Lin Ruan"/>
        <s v="Zhe-Xi Yao"/>
        <s v="Ghassan Beydoun"/>
        <s v="Rafael Valencia‐García"/>
        <s v="Rodrigo Martı́nez-Béjar"/>
        <s v="Shaun Shei"/>
        <s v="Haralambos Mouratidis"/>
        <s v="Aidan Delaney"/>
        <s v="Amir Ashamalla"/>
        <s v="Graham Low"/>
        <s v="Hassan Reza"/>
        <s v="Rashmi Sehgal"/>
        <s v="Jeremy Straub"/>
        <s v="Nicholas Alexander"/>
        <s v="Xiaojie Ma"/>
        <s v="Guofu Ding"/>
        <s v="Shengfeng Qin"/>
        <s v="Rong Li"/>
        <s v="Kaiyin Yan"/>
        <s v="Shoune Xiao"/>
        <s v="Guangwu Yang"/>
        <s v="Aradea Aradea"/>
        <s v="Iping Supriana"/>
        <s v="Kridanto Surendro"/>
        <s v="Irfan Darmawan"/>
        <s v="Helmut Scherer"/>
        <s v="Albert Albers"/>
        <s v="Nikola Bursac"/>
        <s v="María Fernanda Granda"/>
        <s v="Nelly Condori-Fernández"/>
        <s v="Tanja E. J. Vos"/>
        <s v="Óscar Pastor"/>
        <s v="Yaniv Mordecai"/>
        <s v="Dov Dori"/>
        <s v="Waqas Ahmed"/>
        <s v="Kevin Holder"/>
        <s v="Andreas Zech"/>
        <s v="Manuel Ramsaier"/>
        <s v="Ralf Stetter"/>
        <s v="H. Niedermeier"/>
        <s v="Stephan Rudolph"/>
        <s v="Markus Till"/>
        <s v="S. Manoj Kannan"/>
        <s v="Kunal Suri"/>
        <s v="Juan Cadavid"/>
        <s v="Ion Barosan"/>
        <s v="Mark van den Brand"/>
        <s v="Sébastien Gérard"/>
        <s v="Fabíola Gonçalves C. Ribeiro"/>
        <s v="Carlos Eduardo Pereira"/>
        <s v="Achim Rettberg"/>
        <s v="Ch. Kotronis"/>
        <s v="Μάρα Νικολαϊδου"/>
        <s v="George Dimitrakopoulos"/>
        <s v="Dimosthenis Anagnostopoulos"/>
        <s v="Abbes Amira"/>
        <s v="Fayçal Bensaali"/>
        <s v="David Inkermann"/>
        <s v="Tobias Huth"/>
        <s v="Thomas Vietor"/>
        <s v="Axel Grewe"/>
        <s v="Christoph Knieke"/>
        <s v="Andreas Rausch"/>
        <s v="Marina Murtazina"/>
        <s v="Tatiana Avdeenko"/>
        <s v="Danilo Arruda"/>
        <s v="Matheus Marinho"/>
        <s v="Eric Souza"/>
        <s v="Hasan Salim Alkaf"/>
        <s v="Jameleddine Hassine"/>
        <s v="Taha Binalialhag"/>
        <s v="Javier Martinez Silva"/>
        <s v="Raul Javales"/>
        <s v="José Reinaldo Silva"/>
        <s v="Yilong Yang"/>
        <s v="Xiaoshan Li"/>
        <s v="Zhiming Liu"/>
        <s v="Wei Ke"/>
        <s v="Zahra Abdulkarim Hamza"/>
        <s v="Mustafa Hammad"/>
        <s v="Yudi Priyadi"/>
        <s v="Arif Djunaidy"/>
        <s v="Daniel Siahaan"/>
        <s v="Alejandro Salado"/>
        <s v="Paul Wach"/>
        <s v="Grischa Liebel"/>
        <s v="Matthias Tichy"/>
        <s v="Eric Knauss"/>
        <s v="Luca Piras"/>
        <s v="Federico Calabrese"/>
        <s v="Roberto Veloso"/>
        <s v="Armanda Rodrigues"/>
        <s v="Adrian Benfell"/>
        <s v="Rapatsalahy Miary Andrianjaka"/>
        <s v="Hajarisena Razafimahatratra"/>
        <s v="Mihaela Ilie"/>
        <s v="Thomas Mahatody"/>
        <s v="Ilie Sorin"/>
        <s v="Razafindrakoto Nicolas Raft"/>
        <s v="Christoph Binder"/>
        <s v="Katharina Polanec"/>
        <s v="Boris Brankovic"/>
        <s v="Christian Neureiter"/>
        <s v="Goran Lastro"/>
        <s v="Arndt Lüder"/>
        <s v="Douraïd Naouar"/>
        <s v="Jamal El Hachem"/>
        <s v="Jean‐Luc Voirin"/>
        <s v="Jacques Foisil"/>
        <s v="Yvon Kermarrec"/>
        <s v="Tianshu Bao"/>
        <s v="Jing Yang"/>
        <s v="Yongfeng Yin"/>
        <s v="Emily Windisch"/>
        <s v="Constantin Mandel"/>
        <s v="Simon Rapp"/>
        <s v="Daniel Bouskela"/>
        <s v="Alberto Falcone"/>
        <s v="Alfredo Garro"/>
        <s v="Audrey Jardin"/>
        <s v="Martin Otter"/>
        <s v="Nguyen Ba Thuy"/>
        <s v="Andrea Tundis"/>
        <s v="Tong Ye"/>
        <s v="Yi Zhuang"/>
        <s v="Gongzhe Qiao"/>
        <s v="Bingjie Zeng"/>
        <s v="Juntao Gao"/>
        <s v="Yufeng Ma"/>
        <s v="Yajie Dou"/>
        <s v="Xiangqian Xu"/>
        <s v="Jiang Jiang"/>
        <s v="Kewei Yang"/>
        <s v="Yuejin Tan"/>
        <s v="Cyril Bacquet"/>
        <s v="Pascale Marangé"/>
        <s v="Éric Bonjour"/>
        <s v="Alain Kerbrat"/>
        <s v="Anna M. Nowak-Meitinger"/>
        <s v="Jan Mayer"/>
        <s v="Sanjana Kishor Marde"/>
        <s v="Roland Jochem"/>
        <s v="HU Yan-lin"/>
        <s v="Tiexin Wang"/>
        <s v="Yize Shi"/>
        <s v="Yuanrong Zhang"/>
        <s v="Wei Guo"/>
        <s v="Zhixing Chang"/>
        <s v="Jian Ma"/>
        <s v="Zhong-Lin Fu"/>
        <s v="Lei Wang"/>
        <s v="Hongyu Shao"/>
        <s v="Yongbing Feng"/>
        <s v="Guohua Gao"/>
        <s v="Pengyu Wang"/>
        <s v="Mengyu Fu"/>
        <s v="Zihua Zhang"/>
        <s v="Chiara Mannari"/>
        <s v="Andrey Sadovykh"/>
        <s v="Bilal Said"/>
        <s v="Dragoş Truşcan"/>
        <s v="Hugo Brunelière"/>
        <s v="P. Yang"/>
        <s v="Li Zhang"/>
        <s v="Qin Li"/>
        <s v="Xiang Gao"/>
      </sharedItems>
    </cacheField>
    <cacheField name="Author_Position" numFmtId="0">
      <sharedItems count="3">
        <s v="first"/>
        <s v="middle"/>
        <s v="last"/>
      </sharedItems>
    </cacheField>
    <cacheField name="All_Institutions" numFmtId="0">
      <sharedItems count="141">
        <s v="Centre National de la Recherche Scientifique; Laboratoire d'Analyse et d'Architecture des Systèmes; Université Fédérale de Toulouse Midi-Pyrénées; Université Toulouse III - Paul Sabatier"/>
        <s v="Institut d'Électronique et des Technologies du numéRique; Supélec"/>
        <s v="CEA LIST; Commissariat à l'Énergie Atomique et aux Énergies Alternatives"/>
        <s v="Centre National de la Recherche Scientifique; Institut national de recherche en sciences et technologies du numérique"/>
        <s v="University of Trento"/>
        <s v="Universidade Nova de Lisboa; University of Lisbon"/>
        <s v="Pontifícia Universidade Católica do Rio de Janeiro"/>
        <s v="Technical University of Munich"/>
        <s v="Princeton University"/>
        <s v="University of Zurich"/>
        <s v="Babasaheb Bhimrao Ambedkar University"/>
        <s v="Devi Ahilya Vishwavidyalaya"/>
        <s v="University of Luxembourg"/>
        <s v="University of Reading"/>
        <s v="Universidade Nova de Lisboa"/>
        <s v="East China Normal University; Shanghai Key Laboratory of Trustworthy Computing"/>
        <s v="Not Available"/>
        <s v="Friedrich-Alexander-Universität Erlangen-Nürnberg"/>
        <s v="University of Ottawa"/>
        <s v="Ghent University"/>
        <s v="Universidade Federal de Uberlândia"/>
        <s v="Delft University of Technology"/>
        <s v="Universitat Politècnica de València"/>
        <s v="North Dakota State University"/>
        <s v="University of Nebraska–Lincoln"/>
        <s v="University of Castilla-La Mancha"/>
        <s v="Fondazione Bruno Kessler"/>
        <s v="University of Namur"/>
        <s v="Universidade Federal de Pernambuco"/>
        <s v="Universidade Federal do Rio Grande do Norte"/>
        <s v="Universidade Federal da Paraíba"/>
        <s v="Siemens (United States)"/>
        <s v="Wuhan University"/>
        <s v="Sabre (United States)"/>
        <s v="The University of Texas at Dallas"/>
        <s v="University of Manchester"/>
        <s v="Airbus (France)"/>
        <s v="Marquette University"/>
        <s v="Zhejiang University"/>
        <s v="Aalto University"/>
        <s v="Institute of Software; Peking University"/>
        <s v="Liverpool John Moores University"/>
        <s v="Edith Cowan University"/>
        <s v="Fortiss"/>
        <s v="University of Haifa"/>
        <s v="Ingegneria dei Sistemi (Italy)"/>
        <s v="University of British Columbia"/>
        <s v="Rutgers, The State University of New Jersey"/>
        <s v="Fund for Scientific Research; University of Namur"/>
        <s v="Bandung Institute of Technology"/>
        <s v="Fraunhofer Institute for Mechatronic Systems Design; Fraunhofer Institute for Production Technology IPT"/>
        <s v="Draper Laboratory"/>
        <s v="Inria Rennes - Bretagne Atlantique Research Centre"/>
        <s v="University of Twente"/>
        <s v="Aarhus University"/>
        <s v="Heinrich Heine University Düsseldorf"/>
        <s v="Savitribai Phule Pune University"/>
        <s v="Toronto Metropolitan University"/>
        <s v="Institut Supérieur de Gestion de Tunis; Tunis University"/>
        <s v="Poznań University of Technology"/>
        <s v="Université Libre de Bruxelles"/>
        <s v="Ferdowsi University of Mashhad"/>
        <s v="Guangdong University of Technology"/>
        <s v="Beihang University"/>
        <s v="University of Southern California"/>
        <s v="Bremer Institut für Produktion und Logistik GmbH; University of Bremen"/>
        <s v="Utrecht University"/>
        <s v="Fortiss; Technical University of Munich"/>
        <s v="Cheltenham Festivals"/>
        <s v="Newcastle University"/>
        <s v="The University of Melbourne"/>
        <s v="Swinburne University of Technology"/>
        <s v="Hatyai University"/>
        <s v="Centre d'Excellence en Technologies de l'Information et de la Communication"/>
        <s v="Chinese Academy of Sciences; Technology and Engineering Center for Space Utilization"/>
        <s v="University of Wollongong"/>
        <s v="Universidad de Murcia"/>
        <s v="University of Brighton"/>
        <s v="University of Technology Sydney"/>
        <s v="UNSW Sydney"/>
        <s v="University of North Dakota"/>
        <s v="University of California, Santa Cruz"/>
        <s v="Marshall University"/>
        <s v="Southwest Jiaotong University"/>
        <s v="Northumbria University"/>
        <s v="Siliwangi University"/>
        <s v="Telkom University"/>
        <s v="Karlsruhe Institute of Technology"/>
        <s v="University of Cuenca"/>
        <s v="Vrije Universiteit Amsterdam"/>
        <s v="Technion – Israel Institute of Technology"/>
        <s v="ZF Friedrichshafen (Germany)"/>
        <s v="University of Applied Sciences Ravensburg-Weingarten"/>
        <s v="University of Stuttgart"/>
        <s v="Eindhoven University of Technology"/>
        <s v="Centre National de la Recherche Scientifique"/>
        <s v="Instituto Federal Goiano"/>
        <s v="Universidade Federal do Rio Grande do Sul"/>
        <s v="Carl von Ossietzky Universität Oldenburg"/>
        <s v="Universidade Federal de Sergipe"/>
        <s v="Harokopio University of Athens"/>
        <s v="Qatar University"/>
        <s v="Technische Universität Braunschweig"/>
        <s v="Clausthal University of Technology"/>
        <s v="Novosibirsk State Technical University"/>
        <s v="Universidade Católica de Pernambuco"/>
        <s v="King Fahd University of Petroleum and Minerals"/>
        <s v="Centro Universitário FEI"/>
        <s v="Universidade de São Paulo"/>
        <s v="University of Macau"/>
        <s v="Southwest University"/>
        <s v="Macao Polytechnic University"/>
        <s v="University of Bahrain"/>
        <s v="Sepuluh Nopember Institute of Technology"/>
        <s v="Virginia Tech"/>
        <s v="Zhejiang Gongshang University"/>
        <s v="Chalmers University of Technology; University of Gothenburg"/>
        <s v="Universität Ulm"/>
        <s v="Norwich Research Park; University of East Anglia"/>
        <s v="Université de Fianarantsoa"/>
        <s v="Information Technology University; University of Craiova"/>
        <s v="University of Antananarivo"/>
        <s v="Otto-von-Guericke University Magdeburg"/>
        <s v="IMT Atlantique; Université de Bretagne Occidentale; École Navale"/>
        <s v="Institut de Recherche en Informatique et Systèmes Aléatoires"/>
        <s v="Thales (France)"/>
        <s v="Guizhou University"/>
        <s v="TRUMPF (Germany)"/>
        <s v="Électricité de France (France)"/>
        <s v="University of Calabria"/>
        <s v="Deutsches Zentrum für Luft- und Raumfahrt e. V. (DLR)"/>
        <s v="Technical University of Darmstadt"/>
        <s v="Nanjing University of Aeronautics and Astronautics"/>
        <s v="Reykjavík University"/>
        <s v="Northeast Petroleum University"/>
        <s v="National University of Defense Technology"/>
        <s v="Technische Universität Berlin"/>
        <s v="National Research Council; University of Pisa"/>
        <s v="Softeam Cadextan"/>
        <s v="Åbo Akademi University"/>
        <s v="IMT Atlantique; Laboratoire des Sciences du Numérique de Nantes"/>
      </sharedItems>
    </cacheField>
    <cacheField name="Institutions" numFmtId="0">
      <sharedItems count="147">
        <s v="Université Fédérale de Toulouse Midi-Pyrénées"/>
        <s v="Supélec"/>
        <s v="CEA LIST"/>
        <s v="Centre National de la Recherche Scientifique"/>
        <s v="University of Trento"/>
        <s v="Universidade Nova de Lisboa"/>
        <s v="Pontifícia Universidade Católica do Rio de Janeiro"/>
        <s v="Technical University of Munich"/>
        <s v="Princeton University"/>
        <s v="University of Zurich"/>
        <s v="Babasaheb Bhimrao Ambedkar University"/>
        <s v="Devi Ahilya Vishwavidyalaya"/>
        <s v="University of Luxembourg"/>
        <s v="University of Reading"/>
        <s v="East China Normal University"/>
        <s v="Beijing Institute of Control Engineering"/>
        <s v="Friedrich-Alexander-Universität Erlangen-Nürnberg"/>
        <s v="University of Ottawa"/>
        <s v="Ghent University"/>
        <s v="Universidade Federal de Uberlândia"/>
        <s v="Delft University of Technology"/>
        <s v="Universitat Politècnica de València"/>
        <s v="North Dakota State University"/>
        <s v="University of Nebraska–Lincoln"/>
        <s v="University of Castilla-La Mancha"/>
        <s v="Fondazione Bruno Kessler"/>
        <s v="University of Namur"/>
        <s v="Universidade Federal de Pernambuco"/>
        <s v="Universidade Federal do Rio Grande do Norte"/>
        <s v="Universidade Federal da Paraíba"/>
        <s v="Siemens (United States)"/>
        <s v="Wuhan University"/>
        <s v="Sabre (United States)"/>
        <s v="The University of Texas at Dallas"/>
        <s v="University of Manchester"/>
        <s v="Airbus (France)"/>
        <s v="Marquette University"/>
        <s v="Zhejiang University"/>
        <s v="Aalto University"/>
        <s v="Peking University"/>
        <s v="Liverpool John Moores University"/>
        <s v="Edith Cowan University"/>
        <s v="Fortiss"/>
        <s v="University of Haifa"/>
        <s v="Fondazione Bruno Kessler (FBK)"/>
        <s v="Ingegneria dei Sistemi (Italy)"/>
        <s v="University of British Columbia"/>
        <s v="Rutgers, The State University of New Jersey"/>
        <s v="Bandung Institute of Technology"/>
        <s v="Fraunhofer Institute for Production Technology IPT"/>
        <s v="Draper Laboratory"/>
        <s v="Inria Rennes - Bretagne Atlantique Research Centre"/>
        <s v="Nspyre"/>
        <s v="University of Twente"/>
        <s v="Aarhus University"/>
        <s v="Heinrich Heine University Düsseldorf"/>
        <s v="Bharati Vidyapeeth University"/>
        <s v="World Peace University"/>
        <s v="Toronto Metropolitan University"/>
        <s v="Tunis University"/>
        <s v="Poznań University of Technology"/>
        <s v="Université Libre de Bruxelles"/>
        <s v="Ferdowsi University of Mashhad"/>
        <s v="Guangdong University of Technology"/>
        <s v="Beihang University"/>
        <s v="University of Southern California"/>
        <s v="University of Bremen"/>
        <s v="Utrecht University"/>
        <s v="Fortiss; Technical University of Munich"/>
        <s v="Cheltenham Festivals"/>
        <s v="Newcastle University"/>
        <s v="The University of Melbourne"/>
        <s v="Swinburne University of Technology"/>
        <s v="Hatyai University"/>
        <s v="Respect-IT"/>
        <s v="Centre d'Excellence en Technologies de l'Information et de la Communication"/>
        <s v="Chinese Academy of Sciences"/>
        <s v="University of Wollongong"/>
        <s v="Universidad de Murcia"/>
        <s v="University of Brighton"/>
        <s v="University of Technology Sydney"/>
        <s v="UNSW Sydney"/>
        <s v="University of North Dakota"/>
        <s v="University of California"/>
        <s v="Marshall University"/>
        <s v="Southwest Jiaotong University"/>
        <s v="Northumbria University"/>
        <s v="Siliwangi University"/>
        <s v="Telkom University"/>
        <s v="Karlsruhe Institute of Technology"/>
        <s v="University of Cuenca"/>
        <s v="Vrije Universiteit Amsterdam"/>
        <s v="Technion – Israel Institute of Technology"/>
        <s v="ZF Friedrichshafen (Germany)"/>
        <s v="University of Applied Sciences Ravensburg-Weingarten"/>
        <s v="University of Stuttgart"/>
        <s v="Eindhoven University of Technology"/>
        <s v="Instituto Federal Goiano"/>
        <s v="Universidade Federal do Rio Grande do Sul"/>
        <s v="Carl von Ossietzky Universität Oldenburg"/>
        <s v="Universidade Federal de Sergipe"/>
        <s v="Harokopio University of Athens"/>
        <s v="Qatar University"/>
        <s v="Technische Universität Braunschweig"/>
        <s v="Clausthal University of Technology"/>
        <s v="Novosibirsk State Technical University"/>
        <s v="Universidade Católica de Pernambuco"/>
        <s v="King Fahd University of Petroleum and Minerals"/>
        <s v="Centro Universitário FEI"/>
        <s v="Universidade de São Paulo"/>
        <s v="University of Macau"/>
        <s v="Southwest University"/>
        <s v="Macao Polytechnic University"/>
        <s v="University of Bahrain"/>
        <s v="Sepuluh Nopember Institute of Technology"/>
        <s v="Virginia Tech"/>
        <s v="Zhejiang Gongshang University"/>
        <s v="University of Gothenburg"/>
        <s v="Universität Ulm"/>
        <s v="University of East Anglia"/>
        <s v="Université de Fianarantsoa"/>
        <s v="University of Craiova"/>
        <s v="University of Antananarivo"/>
        <s v="Josef Ressel Center for Dependable System-of-Systems Engineering"/>
        <s v="Otto-von-Guericke University Magdeburg"/>
        <s v="Université de Bretagne Occidentale"/>
        <s v="Institut de Recherche en Informatique et Systèmes Aléatoires"/>
        <s v="Thales (France)"/>
        <s v="Guizhou University"/>
        <s v="TRUMPF (Germany)"/>
        <s v="Électricité de France (France)"/>
        <s v="University of Calabria"/>
        <s v="Deutsches Zentrum für Luft- und Raumfahrt e. V. (DLR)"/>
        <s v="Technical University of Darmstadt"/>
        <s v="Nanjing University of Aeronautics and Astronautics"/>
        <s v="Reykjavík University"/>
        <s v="Chalmers University of Technology"/>
        <s v="Northeast Petroleum University"/>
        <s v="National University of Defense Technology"/>
        <s v="Université de Lorraine"/>
        <s v="Technische Universität Berlin"/>
        <s v="Tianjin University"/>
        <s v="Beijing University of Technology"/>
        <s v="University of Pisa"/>
        <s v="Softeam Cadextan"/>
        <s v="Åbo Akademi University"/>
        <s v="Laboratoire des Sciences du Numérique de Nantes"/>
      </sharedItems>
    </cacheField>
    <cacheField name="All_Countries" numFmtId="0">
      <sharedItems count="37">
        <s v="FR"/>
        <s v="IT"/>
        <s v="PT"/>
        <s v="BR"/>
        <s v="DE"/>
        <s v="US"/>
        <s v="CH"/>
        <s v="IN"/>
        <s v="LU"/>
        <s v="GB"/>
        <s v="CN"/>
        <s v="CA"/>
        <s v="BE"/>
        <s v="NL"/>
        <s v="ES"/>
        <s v="FI"/>
        <s v="AU"/>
        <s v="IL"/>
        <s v="TT"/>
        <s v="ID"/>
        <s v="DK"/>
        <s v="TN"/>
        <s v="PL"/>
        <s v="IR"/>
        <s v="TH"/>
        <s v="EC"/>
        <s v="GR"/>
        <s v="QA"/>
        <s v="RU"/>
        <s v="SA"/>
        <s v="MO"/>
        <s v="BH"/>
        <s v="SE"/>
        <s v="MG"/>
        <s v="RO; PK"/>
        <s v="AT"/>
        <s v="IS"/>
      </sharedItems>
    </cacheField>
    <cacheField name="Author_Count" numFmtId="0">
      <sharedItems containsSemiMixedTypes="0" containsString="0" containsNumber="1" containsInteger="1" minValue="0" maxValue="7" count="7">
        <n v="3"/>
        <n v="7"/>
        <n v="1"/>
        <n v="4"/>
        <n v="2"/>
        <n v="5"/>
        <n v="6"/>
      </sharedItems>
    </cacheField>
    <cacheField name="Score" numFmtId="176">
      <sharedItems containsSemiMixedTypes="0" containsString="0" containsNumber="1" minValue="0" maxValue="1" count="7">
        <n v="0.333333333333333"/>
        <n v="0.142857142857143"/>
        <n v="1"/>
        <n v="0.25"/>
        <n v="0.5"/>
        <n v="0.2"/>
        <n v="0.166666666666667"/>
      </sharedItems>
    </cacheField>
  </cacheFields>
</pivotCacheDefinition>
</file>

<file path=xl/pivotCache/pivotCacheRecords1.xml><?xml version="1.0" encoding="utf-8"?>
<pivotCacheRecords xmlns="http://schemas.openxmlformats.org/spreadsheetml/2006/main" xmlns:r="http://schemas.openxmlformats.org/officeDocument/2006/relationships" count="110">
  <r>
    <x v="0"/>
  </r>
  <r>
    <x v="0"/>
  </r>
  <r>
    <x v="1"/>
  </r>
  <r>
    <x v="2"/>
  </r>
  <r>
    <x v="2"/>
  </r>
  <r>
    <x v="2"/>
  </r>
  <r>
    <x v="0"/>
  </r>
  <r>
    <x v="1"/>
  </r>
  <r>
    <x v="3"/>
  </r>
  <r>
    <x v="1"/>
  </r>
  <r>
    <x v="2"/>
  </r>
  <r>
    <x v="3"/>
  </r>
  <r>
    <x v="4"/>
  </r>
  <r>
    <x v="1"/>
  </r>
  <r>
    <x v="1"/>
  </r>
  <r>
    <x v="1"/>
  </r>
  <r>
    <x v="3"/>
  </r>
  <r>
    <x v="1"/>
  </r>
  <r>
    <x v="0"/>
  </r>
  <r>
    <x v="5"/>
  </r>
  <r>
    <x v="4"/>
  </r>
  <r>
    <x v="2"/>
  </r>
  <r>
    <x v="1"/>
  </r>
  <r>
    <x v="6"/>
  </r>
  <r>
    <x v="1"/>
  </r>
  <r>
    <x v="7"/>
  </r>
  <r>
    <x v="1"/>
  </r>
  <r>
    <x v="1"/>
  </r>
  <r>
    <x v="1"/>
  </r>
  <r>
    <x v="0"/>
  </r>
  <r>
    <x v="1"/>
  </r>
  <r>
    <x v="4"/>
  </r>
  <r>
    <x v="2"/>
  </r>
  <r>
    <x v="0"/>
  </r>
  <r>
    <x v="1"/>
  </r>
  <r>
    <x v="1"/>
  </r>
  <r>
    <x v="4"/>
  </r>
  <r>
    <x v="4"/>
  </r>
  <r>
    <x v="6"/>
  </r>
  <r>
    <x v="1"/>
  </r>
  <r>
    <x v="1"/>
  </r>
  <r>
    <x v="1"/>
  </r>
  <r>
    <x v="1"/>
  </r>
  <r>
    <x v="1"/>
  </r>
  <r>
    <x v="0"/>
  </r>
  <r>
    <x v="0"/>
  </r>
  <r>
    <x v="1"/>
  </r>
  <r>
    <x v="3"/>
  </r>
  <r>
    <x v="1"/>
  </r>
  <r>
    <x v="1"/>
  </r>
  <r>
    <x v="1"/>
  </r>
  <r>
    <x v="1"/>
  </r>
  <r>
    <x v="3"/>
  </r>
  <r>
    <x v="1"/>
  </r>
  <r>
    <x v="1"/>
  </r>
  <r>
    <x v="0"/>
  </r>
  <r>
    <x v="7"/>
  </r>
  <r>
    <x v="4"/>
  </r>
  <r>
    <x v="0"/>
  </r>
  <r>
    <x v="7"/>
  </r>
  <r>
    <x v="1"/>
  </r>
  <r>
    <x v="3"/>
  </r>
  <r>
    <x v="2"/>
  </r>
  <r>
    <x v="1"/>
  </r>
  <r>
    <x v="7"/>
  </r>
  <r>
    <x v="1"/>
  </r>
  <r>
    <x v="1"/>
  </r>
  <r>
    <x v="1"/>
  </r>
  <r>
    <x v="5"/>
  </r>
  <r>
    <x v="1"/>
  </r>
  <r>
    <x v="1"/>
  </r>
  <r>
    <x v="0"/>
  </r>
  <r>
    <x v="4"/>
  </r>
  <r>
    <x v="1"/>
  </r>
  <r>
    <x v="0"/>
  </r>
  <r>
    <x v="0"/>
  </r>
  <r>
    <x v="1"/>
  </r>
  <r>
    <x v="7"/>
  </r>
  <r>
    <x v="0"/>
  </r>
  <r>
    <x v="1"/>
  </r>
  <r>
    <x v="7"/>
  </r>
  <r>
    <x v="1"/>
  </r>
  <r>
    <x v="3"/>
  </r>
  <r>
    <x v="1"/>
  </r>
  <r>
    <x v="1"/>
  </r>
  <r>
    <x v="4"/>
  </r>
  <r>
    <x v="2"/>
  </r>
  <r>
    <x v="7"/>
  </r>
  <r>
    <x v="2"/>
  </r>
  <r>
    <x v="1"/>
  </r>
  <r>
    <x v="1"/>
  </r>
  <r>
    <x v="1"/>
  </r>
  <r>
    <x v="3"/>
  </r>
  <r>
    <x v="4"/>
  </r>
  <r>
    <x v="7"/>
  </r>
  <r>
    <x v="6"/>
  </r>
  <r>
    <x v="1"/>
  </r>
  <r>
    <x v="3"/>
  </r>
  <r>
    <x v="4"/>
  </r>
  <r>
    <x v="1"/>
  </r>
  <r>
    <x v="3"/>
  </r>
  <r>
    <x v="5"/>
  </r>
  <r>
    <x v="3"/>
  </r>
  <r>
    <x v="1"/>
  </r>
  <r>
    <x v="1"/>
  </r>
  <r>
    <x v="1"/>
  </r>
  <r>
    <x v="1"/>
  </r>
  <r>
    <x v="4"/>
  </r>
  <r>
    <x v="0"/>
  </r>
  <r>
    <x v="8"/>
  </r>
</pivotCacheRecords>
</file>

<file path=xl/pivotCache/pivotCacheRecords2.xml><?xml version="1.0" encoding="utf-8"?>
<pivotCacheRecords xmlns="http://schemas.openxmlformats.org/spreadsheetml/2006/main" xmlns:r="http://schemas.openxmlformats.org/officeDocument/2006/relationships" count="110">
  <r>
    <x v="0"/>
  </r>
  <r>
    <x v="1"/>
  </r>
  <r>
    <x v="2"/>
  </r>
  <r>
    <x v="3"/>
  </r>
  <r>
    <x v="4"/>
  </r>
  <r>
    <x v="5"/>
  </r>
  <r>
    <x v="6"/>
  </r>
  <r>
    <x v="7"/>
  </r>
  <r>
    <x v="8"/>
  </r>
  <r>
    <x v="5"/>
  </r>
  <r>
    <x v="9"/>
  </r>
  <r>
    <x v="5"/>
  </r>
  <r>
    <x v="7"/>
  </r>
  <r>
    <x v="10"/>
  </r>
  <r>
    <x v="11"/>
  </r>
  <r>
    <x v="12"/>
  </r>
  <r>
    <x v="13"/>
  </r>
  <r>
    <x v="14"/>
  </r>
  <r>
    <x v="15"/>
  </r>
  <r>
    <x v="16"/>
  </r>
  <r>
    <x v="17"/>
  </r>
  <r>
    <x v="12"/>
  </r>
  <r>
    <x v="2"/>
  </r>
  <r>
    <x v="18"/>
  </r>
  <r>
    <x v="19"/>
  </r>
  <r>
    <x v="20"/>
  </r>
  <r>
    <x v="21"/>
  </r>
  <r>
    <x v="22"/>
  </r>
  <r>
    <x v="20"/>
  </r>
  <r>
    <x v="23"/>
  </r>
  <r>
    <x v="24"/>
  </r>
  <r>
    <x v="8"/>
  </r>
  <r>
    <x v="25"/>
  </r>
  <r>
    <x v="26"/>
  </r>
  <r>
    <x v="27"/>
  </r>
  <r>
    <x v="28"/>
  </r>
  <r>
    <x v="29"/>
  </r>
  <r>
    <x v="8"/>
  </r>
  <r>
    <x v="30"/>
  </r>
  <r>
    <x v="31"/>
  </r>
  <r>
    <x v="32"/>
  </r>
  <r>
    <x v="30"/>
  </r>
  <r>
    <x v="33"/>
  </r>
  <r>
    <x v="12"/>
  </r>
  <r>
    <x v="8"/>
  </r>
  <r>
    <x v="34"/>
  </r>
  <r>
    <x v="35"/>
  </r>
  <r>
    <x v="2"/>
  </r>
  <r>
    <x v="36"/>
  </r>
  <r>
    <x v="37"/>
  </r>
  <r>
    <x v="38"/>
  </r>
  <r>
    <x v="39"/>
  </r>
  <r>
    <x v="40"/>
  </r>
  <r>
    <x v="41"/>
  </r>
  <r>
    <x v="42"/>
  </r>
  <r>
    <x v="43"/>
  </r>
  <r>
    <x v="44"/>
  </r>
  <r>
    <x v="13"/>
  </r>
  <r>
    <x v="45"/>
  </r>
  <r>
    <x v="46"/>
  </r>
  <r>
    <x v="47"/>
  </r>
  <r>
    <x v="25"/>
  </r>
  <r>
    <x v="48"/>
  </r>
  <r>
    <x v="49"/>
  </r>
  <r>
    <x v="50"/>
  </r>
  <r>
    <x v="51"/>
  </r>
  <r>
    <x v="52"/>
  </r>
  <r>
    <x v="53"/>
  </r>
  <r>
    <x v="54"/>
  </r>
  <r>
    <x v="55"/>
  </r>
  <r>
    <x v="38"/>
  </r>
  <r>
    <x v="56"/>
  </r>
  <r>
    <x v="57"/>
  </r>
  <r>
    <x v="58"/>
  </r>
  <r>
    <x v="59"/>
  </r>
  <r>
    <x v="60"/>
  </r>
  <r>
    <x v="61"/>
  </r>
  <r>
    <x v="62"/>
  </r>
  <r>
    <x v="13"/>
  </r>
  <r>
    <x v="63"/>
  </r>
  <r>
    <x v="64"/>
  </r>
  <r>
    <x v="65"/>
  </r>
  <r>
    <x v="66"/>
  </r>
  <r>
    <x v="67"/>
  </r>
  <r>
    <x v="2"/>
  </r>
  <r>
    <x v="58"/>
  </r>
  <r>
    <x v="68"/>
  </r>
  <r>
    <x v="69"/>
  </r>
  <r>
    <x v="70"/>
  </r>
  <r>
    <x v="2"/>
  </r>
  <r>
    <x v="71"/>
  </r>
  <r>
    <x v="72"/>
  </r>
  <r>
    <x v="73"/>
  </r>
  <r>
    <x v="73"/>
  </r>
  <r>
    <x v="74"/>
  </r>
  <r>
    <x v="75"/>
  </r>
  <r>
    <x v="2"/>
  </r>
  <r>
    <x v="68"/>
  </r>
  <r>
    <x v="13"/>
  </r>
  <r>
    <x v="2"/>
  </r>
  <r>
    <x v="76"/>
  </r>
  <r>
    <x v="77"/>
  </r>
  <r>
    <x v="78"/>
  </r>
  <r>
    <x v="79"/>
  </r>
  <r>
    <x v="76"/>
  </r>
  <r>
    <x v="80"/>
  </r>
  <r>
    <x v="81"/>
  </r>
  <r>
    <x v="82"/>
  </r>
  <r>
    <x v="82"/>
  </r>
  <r>
    <x v="83"/>
  </r>
</pivotCacheRecords>
</file>

<file path=xl/pivotCache/pivotCacheRecords3.xml><?xml version="1.0" encoding="utf-8"?>
<pivotCacheRecords xmlns="http://schemas.openxmlformats.org/spreadsheetml/2006/main" xmlns:r="http://schemas.openxmlformats.org/officeDocument/2006/relationships" count="110">
  <r>
    <x v="0"/>
  </r>
  <r>
    <x v="0"/>
  </r>
  <r>
    <x v="1"/>
  </r>
  <r>
    <x v="1"/>
  </r>
  <r>
    <x v="0"/>
  </r>
  <r>
    <x v="0"/>
  </r>
  <r>
    <x v="0"/>
  </r>
  <r>
    <x v="1"/>
  </r>
  <r>
    <x v="2"/>
  </r>
  <r>
    <x v="0"/>
  </r>
  <r>
    <x v="1"/>
  </r>
  <r>
    <x v="0"/>
  </r>
  <r>
    <x v="1"/>
  </r>
  <r>
    <x v="3"/>
  </r>
  <r>
    <x v="1"/>
  </r>
  <r>
    <x v="1"/>
  </r>
  <r>
    <x v="2"/>
  </r>
  <r>
    <x v="0"/>
  </r>
  <r>
    <x v="0"/>
  </r>
  <r>
    <x v="0"/>
  </r>
  <r>
    <x v="2"/>
  </r>
  <r>
    <x v="1"/>
  </r>
  <r>
    <x v="1"/>
  </r>
  <r>
    <x v="1"/>
  </r>
  <r>
    <x v="1"/>
  </r>
  <r>
    <x v="0"/>
  </r>
  <r>
    <x v="0"/>
  </r>
  <r>
    <x v="3"/>
  </r>
  <r>
    <x v="0"/>
  </r>
  <r>
    <x v="4"/>
  </r>
  <r>
    <x v="0"/>
  </r>
  <r>
    <x v="2"/>
  </r>
  <r>
    <x v="2"/>
  </r>
  <r>
    <x v="0"/>
  </r>
  <r>
    <x v="5"/>
  </r>
  <r>
    <x v="2"/>
  </r>
  <r>
    <x v="0"/>
  </r>
  <r>
    <x v="2"/>
  </r>
  <r>
    <x v="0"/>
  </r>
  <r>
    <x v="2"/>
  </r>
  <r>
    <x v="0"/>
  </r>
  <r>
    <x v="0"/>
  </r>
  <r>
    <x v="0"/>
  </r>
  <r>
    <x v="1"/>
  </r>
  <r>
    <x v="2"/>
  </r>
  <r>
    <x v="2"/>
  </r>
  <r>
    <x v="0"/>
  </r>
  <r>
    <x v="1"/>
  </r>
  <r>
    <x v="1"/>
  </r>
  <r>
    <x v="2"/>
  </r>
  <r>
    <x v="1"/>
  </r>
  <r>
    <x v="1"/>
  </r>
  <r>
    <x v="2"/>
  </r>
  <r>
    <x v="2"/>
  </r>
  <r>
    <x v="2"/>
  </r>
  <r>
    <x v="2"/>
  </r>
  <r>
    <x v="0"/>
  </r>
  <r>
    <x v="2"/>
  </r>
  <r>
    <x v="0"/>
  </r>
  <r>
    <x v="0"/>
  </r>
  <r>
    <x v="1"/>
  </r>
  <r>
    <x v="2"/>
  </r>
  <r>
    <x v="1"/>
  </r>
  <r>
    <x v="2"/>
  </r>
  <r>
    <x v="0"/>
  </r>
  <r>
    <x v="1"/>
  </r>
  <r>
    <x v="1"/>
  </r>
  <r>
    <x v="2"/>
  </r>
  <r>
    <x v="0"/>
  </r>
  <r>
    <x v="0"/>
  </r>
  <r>
    <x v="1"/>
  </r>
  <r>
    <x v="6"/>
  </r>
  <r>
    <x v="0"/>
  </r>
  <r>
    <x v="1"/>
  </r>
  <r>
    <x v="0"/>
  </r>
  <r>
    <x v="2"/>
  </r>
  <r>
    <x v="1"/>
  </r>
  <r>
    <x v="1"/>
  </r>
  <r>
    <x v="2"/>
  </r>
  <r>
    <x v="2"/>
  </r>
  <r>
    <x v="3"/>
  </r>
  <r>
    <x v="0"/>
  </r>
  <r>
    <x v="0"/>
  </r>
  <r>
    <x v="6"/>
  </r>
  <r>
    <x v="1"/>
  </r>
  <r>
    <x v="1"/>
  </r>
  <r>
    <x v="1"/>
  </r>
  <r>
    <x v="1"/>
  </r>
  <r>
    <x v="1"/>
  </r>
  <r>
    <x v="1"/>
  </r>
  <r>
    <x v="2"/>
  </r>
  <r>
    <x v="0"/>
  </r>
  <r>
    <x v="0"/>
  </r>
  <r>
    <x v="0"/>
  </r>
  <r>
    <x v="3"/>
  </r>
  <r>
    <x v="2"/>
  </r>
  <r>
    <x v="1"/>
  </r>
  <r>
    <x v="1"/>
  </r>
  <r>
    <x v="2"/>
  </r>
  <r>
    <x v="1"/>
  </r>
  <r>
    <x v="2"/>
  </r>
  <r>
    <x v="2"/>
  </r>
  <r>
    <x v="1"/>
  </r>
  <r>
    <x v="1"/>
  </r>
  <r>
    <x v="2"/>
  </r>
  <r>
    <x v="2"/>
  </r>
  <r>
    <x v="0"/>
  </r>
  <r>
    <x v="2"/>
  </r>
  <r>
    <x v="2"/>
  </r>
  <r>
    <x v="7"/>
  </r>
</pivotCacheRecords>
</file>

<file path=xl/pivotCache/pivotCacheRecords4.xml><?xml version="1.0" encoding="utf-8"?>
<pivotCacheRecords xmlns="http://schemas.openxmlformats.org/spreadsheetml/2006/main" xmlns:r="http://schemas.openxmlformats.org/officeDocument/2006/relationships" count="110">
  <r>
    <x v="0"/>
  </r>
  <r>
    <x v="0"/>
  </r>
  <r>
    <x v="1"/>
  </r>
  <r>
    <x v="0"/>
  </r>
  <r>
    <x v="2"/>
  </r>
  <r>
    <x v="0"/>
  </r>
  <r>
    <x v="0"/>
  </r>
  <r>
    <x v="3"/>
  </r>
  <r>
    <x v="1"/>
  </r>
  <r>
    <x v="0"/>
  </r>
  <r>
    <x v="0"/>
  </r>
  <r>
    <x v="0"/>
  </r>
  <r>
    <x v="3"/>
  </r>
  <r>
    <x v="0"/>
  </r>
  <r>
    <x v="0"/>
  </r>
  <r>
    <x v="0"/>
  </r>
  <r>
    <x v="1"/>
  </r>
  <r>
    <x v="2"/>
  </r>
  <r>
    <x v="2"/>
  </r>
  <r>
    <x v="2"/>
  </r>
  <r>
    <x v="1"/>
  </r>
  <r>
    <x v="0"/>
  </r>
  <r>
    <x v="1"/>
  </r>
  <r>
    <x v="1"/>
  </r>
  <r>
    <x v="0"/>
  </r>
  <r>
    <x v="0"/>
  </r>
  <r>
    <x v="0"/>
  </r>
  <r>
    <x v="0"/>
  </r>
  <r>
    <x v="0"/>
  </r>
  <r>
    <x v="1"/>
  </r>
  <r>
    <x v="0"/>
  </r>
  <r>
    <x v="1"/>
  </r>
  <r>
    <x v="1"/>
  </r>
  <r>
    <x v="0"/>
  </r>
  <r>
    <x v="1"/>
  </r>
  <r>
    <x v="1"/>
  </r>
  <r>
    <x v="0"/>
  </r>
  <r>
    <x v="1"/>
  </r>
  <r>
    <x v="2"/>
  </r>
  <r>
    <x v="1"/>
  </r>
  <r>
    <x v="0"/>
  </r>
  <r>
    <x v="2"/>
  </r>
  <r>
    <x v="0"/>
  </r>
  <r>
    <x v="0"/>
  </r>
  <r>
    <x v="1"/>
  </r>
  <r>
    <x v="1"/>
  </r>
  <r>
    <x v="0"/>
  </r>
  <r>
    <x v="1"/>
  </r>
  <r>
    <x v="1"/>
  </r>
  <r>
    <x v="1"/>
  </r>
  <r>
    <x v="0"/>
  </r>
  <r>
    <x v="1"/>
  </r>
  <r>
    <x v="1"/>
  </r>
  <r>
    <x v="1"/>
  </r>
  <r>
    <x v="1"/>
  </r>
  <r>
    <x v="1"/>
  </r>
  <r>
    <x v="1"/>
  </r>
  <r>
    <x v="1"/>
  </r>
  <r>
    <x v="0"/>
  </r>
  <r>
    <x v="0"/>
  </r>
  <r>
    <x v="0"/>
  </r>
  <r>
    <x v="1"/>
  </r>
  <r>
    <x v="0"/>
  </r>
  <r>
    <x v="1"/>
  </r>
  <r>
    <x v="0"/>
  </r>
  <r>
    <x v="1"/>
  </r>
  <r>
    <x v="0"/>
  </r>
  <r>
    <x v="1"/>
  </r>
  <r>
    <x v="0"/>
  </r>
  <r>
    <x v="0"/>
  </r>
  <r>
    <x v="0"/>
  </r>
  <r>
    <x v="1"/>
  </r>
  <r>
    <x v="2"/>
  </r>
  <r>
    <x v="1"/>
  </r>
  <r>
    <x v="0"/>
  </r>
  <r>
    <x v="1"/>
  </r>
  <r>
    <x v="0"/>
  </r>
  <r>
    <x v="0"/>
  </r>
  <r>
    <x v="1"/>
  </r>
  <r>
    <x v="2"/>
  </r>
  <r>
    <x v="0"/>
  </r>
  <r>
    <x v="0"/>
  </r>
  <r>
    <x v="0"/>
  </r>
  <r>
    <x v="1"/>
  </r>
  <r>
    <x v="1"/>
  </r>
  <r>
    <x v="1"/>
  </r>
  <r>
    <x v="1"/>
  </r>
  <r>
    <x v="0"/>
  </r>
  <r>
    <x v="0"/>
  </r>
  <r>
    <x v="1"/>
  </r>
  <r>
    <x v="2"/>
  </r>
  <r>
    <x v="0"/>
  </r>
  <r>
    <x v="0"/>
  </r>
  <r>
    <x v="0"/>
  </r>
  <r>
    <x v="0"/>
  </r>
  <r>
    <x v="1"/>
  </r>
  <r>
    <x v="1"/>
  </r>
  <r>
    <x v="1"/>
  </r>
  <r>
    <x v="1"/>
  </r>
  <r>
    <x v="1"/>
  </r>
  <r>
    <x v="1"/>
  </r>
  <r>
    <x v="1"/>
  </r>
  <r>
    <x v="3"/>
  </r>
  <r>
    <x v="0"/>
  </r>
  <r>
    <x v="1"/>
  </r>
  <r>
    <x v="1"/>
  </r>
  <r>
    <x v="0"/>
  </r>
  <r>
    <x v="1"/>
  </r>
  <r>
    <x v="1"/>
  </r>
  <r>
    <x v="4"/>
  </r>
</pivotCacheRecords>
</file>

<file path=xl/pivotCache/pivotCacheRecords5.xml><?xml version="1.0" encoding="utf-8"?>
<pivotCacheRecords xmlns="http://schemas.openxmlformats.org/spreadsheetml/2006/main" xmlns:r="http://schemas.openxmlformats.org/officeDocument/2006/relationships" count="0"/>
</file>

<file path=xl/pivotCache/pivotCacheRecords6.xml><?xml version="1.0" encoding="utf-8"?>
<pivotCacheRecords xmlns="http://schemas.openxmlformats.org/spreadsheetml/2006/main" xmlns:r="http://schemas.openxmlformats.org/officeDocument/2006/relationships" count="109">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r>
    <x v="4294967295"/>
  </r>
</pivotCacheRecords>
</file>

<file path=xl/pivotCache/pivotCacheRecords7.xml><?xml version="1.0" encoding="utf-8"?>
<pivotCacheRecords xmlns="http://schemas.openxmlformats.org/spreadsheetml/2006/main" xmlns:r="http://schemas.openxmlformats.org/officeDocument/2006/relationships" count="401">
  <r>
    <x v="0"/>
    <x v="0"/>
    <x v="0"/>
    <x v="0"/>
    <x v="0"/>
    <x v="0"/>
    <x v="0"/>
    <x v="0"/>
    <x v="0"/>
    <x v="0"/>
  </r>
  <r>
    <x v="0"/>
    <x v="0"/>
    <x v="0"/>
    <x v="1"/>
    <x v="1"/>
    <x v="0"/>
    <x v="0"/>
    <x v="0"/>
    <x v="0"/>
    <x v="0"/>
  </r>
  <r>
    <x v="0"/>
    <x v="0"/>
    <x v="0"/>
    <x v="2"/>
    <x v="2"/>
    <x v="1"/>
    <x v="1"/>
    <x v="0"/>
    <x v="0"/>
    <x v="0"/>
  </r>
  <r>
    <x v="1"/>
    <x v="1"/>
    <x v="0"/>
    <x v="3"/>
    <x v="0"/>
    <x v="2"/>
    <x v="2"/>
    <x v="0"/>
    <x v="0"/>
    <x v="0"/>
  </r>
  <r>
    <x v="1"/>
    <x v="1"/>
    <x v="0"/>
    <x v="4"/>
    <x v="1"/>
    <x v="3"/>
    <x v="3"/>
    <x v="0"/>
    <x v="0"/>
    <x v="0"/>
  </r>
  <r>
    <x v="1"/>
    <x v="1"/>
    <x v="0"/>
    <x v="5"/>
    <x v="2"/>
    <x v="2"/>
    <x v="2"/>
    <x v="0"/>
    <x v="0"/>
    <x v="0"/>
  </r>
  <r>
    <x v="2"/>
    <x v="2"/>
    <x v="0"/>
    <x v="6"/>
    <x v="0"/>
    <x v="4"/>
    <x v="4"/>
    <x v="1"/>
    <x v="0"/>
    <x v="0"/>
  </r>
  <r>
    <x v="2"/>
    <x v="2"/>
    <x v="0"/>
    <x v="7"/>
    <x v="1"/>
    <x v="4"/>
    <x v="4"/>
    <x v="1"/>
    <x v="0"/>
    <x v="0"/>
  </r>
  <r>
    <x v="2"/>
    <x v="2"/>
    <x v="0"/>
    <x v="8"/>
    <x v="2"/>
    <x v="4"/>
    <x v="4"/>
    <x v="1"/>
    <x v="0"/>
    <x v="0"/>
  </r>
  <r>
    <x v="3"/>
    <x v="3"/>
    <x v="0"/>
    <x v="9"/>
    <x v="0"/>
    <x v="5"/>
    <x v="5"/>
    <x v="2"/>
    <x v="1"/>
    <x v="1"/>
  </r>
  <r>
    <x v="3"/>
    <x v="3"/>
    <x v="0"/>
    <x v="10"/>
    <x v="1"/>
    <x v="5"/>
    <x v="5"/>
    <x v="2"/>
    <x v="1"/>
    <x v="1"/>
  </r>
  <r>
    <x v="3"/>
    <x v="3"/>
    <x v="0"/>
    <x v="11"/>
    <x v="1"/>
    <x v="5"/>
    <x v="5"/>
    <x v="2"/>
    <x v="1"/>
    <x v="1"/>
  </r>
  <r>
    <x v="3"/>
    <x v="3"/>
    <x v="0"/>
    <x v="12"/>
    <x v="1"/>
    <x v="6"/>
    <x v="6"/>
    <x v="3"/>
    <x v="1"/>
    <x v="1"/>
  </r>
  <r>
    <x v="3"/>
    <x v="3"/>
    <x v="0"/>
    <x v="13"/>
    <x v="1"/>
    <x v="5"/>
    <x v="5"/>
    <x v="2"/>
    <x v="1"/>
    <x v="1"/>
  </r>
  <r>
    <x v="3"/>
    <x v="3"/>
    <x v="0"/>
    <x v="14"/>
    <x v="1"/>
    <x v="5"/>
    <x v="5"/>
    <x v="2"/>
    <x v="1"/>
    <x v="1"/>
  </r>
  <r>
    <x v="3"/>
    <x v="3"/>
    <x v="0"/>
    <x v="15"/>
    <x v="2"/>
    <x v="5"/>
    <x v="5"/>
    <x v="2"/>
    <x v="1"/>
    <x v="1"/>
  </r>
  <r>
    <x v="4"/>
    <x v="4"/>
    <x v="0"/>
    <x v="16"/>
    <x v="0"/>
    <x v="7"/>
    <x v="7"/>
    <x v="4"/>
    <x v="1"/>
    <x v="1"/>
  </r>
  <r>
    <x v="4"/>
    <x v="4"/>
    <x v="0"/>
    <x v="17"/>
    <x v="1"/>
    <x v="7"/>
    <x v="7"/>
    <x v="4"/>
    <x v="1"/>
    <x v="1"/>
  </r>
  <r>
    <x v="4"/>
    <x v="4"/>
    <x v="0"/>
    <x v="18"/>
    <x v="1"/>
    <x v="7"/>
    <x v="7"/>
    <x v="4"/>
    <x v="1"/>
    <x v="1"/>
  </r>
  <r>
    <x v="4"/>
    <x v="4"/>
    <x v="0"/>
    <x v="19"/>
    <x v="1"/>
    <x v="7"/>
    <x v="7"/>
    <x v="4"/>
    <x v="1"/>
    <x v="1"/>
  </r>
  <r>
    <x v="4"/>
    <x v="4"/>
    <x v="0"/>
    <x v="20"/>
    <x v="1"/>
    <x v="7"/>
    <x v="7"/>
    <x v="4"/>
    <x v="1"/>
    <x v="1"/>
  </r>
  <r>
    <x v="4"/>
    <x v="4"/>
    <x v="0"/>
    <x v="21"/>
    <x v="1"/>
    <x v="7"/>
    <x v="7"/>
    <x v="4"/>
    <x v="1"/>
    <x v="1"/>
  </r>
  <r>
    <x v="4"/>
    <x v="4"/>
    <x v="0"/>
    <x v="22"/>
    <x v="2"/>
    <x v="8"/>
    <x v="8"/>
    <x v="5"/>
    <x v="1"/>
    <x v="1"/>
  </r>
  <r>
    <x v="5"/>
    <x v="5"/>
    <x v="0"/>
    <x v="23"/>
    <x v="0"/>
    <x v="9"/>
    <x v="9"/>
    <x v="6"/>
    <x v="2"/>
    <x v="2"/>
  </r>
  <r>
    <x v="6"/>
    <x v="6"/>
    <x v="0"/>
    <x v="24"/>
    <x v="0"/>
    <x v="10"/>
    <x v="10"/>
    <x v="7"/>
    <x v="0"/>
    <x v="0"/>
  </r>
  <r>
    <x v="6"/>
    <x v="6"/>
    <x v="0"/>
    <x v="25"/>
    <x v="1"/>
    <x v="11"/>
    <x v="11"/>
    <x v="7"/>
    <x v="0"/>
    <x v="0"/>
  </r>
  <r>
    <x v="6"/>
    <x v="6"/>
    <x v="0"/>
    <x v="26"/>
    <x v="2"/>
    <x v="11"/>
    <x v="11"/>
    <x v="7"/>
    <x v="0"/>
    <x v="0"/>
  </r>
  <r>
    <x v="7"/>
    <x v="7"/>
    <x v="0"/>
    <x v="27"/>
    <x v="0"/>
    <x v="12"/>
    <x v="12"/>
    <x v="8"/>
    <x v="3"/>
    <x v="3"/>
  </r>
  <r>
    <x v="7"/>
    <x v="7"/>
    <x v="0"/>
    <x v="28"/>
    <x v="1"/>
    <x v="12"/>
    <x v="12"/>
    <x v="8"/>
    <x v="3"/>
    <x v="3"/>
  </r>
  <r>
    <x v="7"/>
    <x v="7"/>
    <x v="0"/>
    <x v="29"/>
    <x v="1"/>
    <x v="12"/>
    <x v="12"/>
    <x v="8"/>
    <x v="3"/>
    <x v="3"/>
  </r>
  <r>
    <x v="7"/>
    <x v="7"/>
    <x v="0"/>
    <x v="30"/>
    <x v="2"/>
    <x v="12"/>
    <x v="12"/>
    <x v="8"/>
    <x v="3"/>
    <x v="3"/>
  </r>
  <r>
    <x v="8"/>
    <x v="8"/>
    <x v="0"/>
    <x v="31"/>
    <x v="0"/>
    <x v="13"/>
    <x v="13"/>
    <x v="9"/>
    <x v="4"/>
    <x v="4"/>
  </r>
  <r>
    <x v="8"/>
    <x v="8"/>
    <x v="0"/>
    <x v="32"/>
    <x v="2"/>
    <x v="13"/>
    <x v="13"/>
    <x v="9"/>
    <x v="4"/>
    <x v="4"/>
  </r>
  <r>
    <x v="9"/>
    <x v="9"/>
    <x v="0"/>
    <x v="33"/>
    <x v="0"/>
    <x v="14"/>
    <x v="5"/>
    <x v="2"/>
    <x v="3"/>
    <x v="3"/>
  </r>
  <r>
    <x v="9"/>
    <x v="9"/>
    <x v="0"/>
    <x v="14"/>
    <x v="1"/>
    <x v="14"/>
    <x v="5"/>
    <x v="2"/>
    <x v="3"/>
    <x v="3"/>
  </r>
  <r>
    <x v="9"/>
    <x v="9"/>
    <x v="0"/>
    <x v="15"/>
    <x v="1"/>
    <x v="14"/>
    <x v="5"/>
    <x v="2"/>
    <x v="3"/>
    <x v="3"/>
  </r>
  <r>
    <x v="9"/>
    <x v="9"/>
    <x v="0"/>
    <x v="34"/>
    <x v="2"/>
    <x v="14"/>
    <x v="5"/>
    <x v="2"/>
    <x v="3"/>
    <x v="3"/>
  </r>
  <r>
    <x v="10"/>
    <x v="10"/>
    <x v="0"/>
    <x v="35"/>
    <x v="0"/>
    <x v="15"/>
    <x v="14"/>
    <x v="10"/>
    <x v="1"/>
    <x v="1"/>
  </r>
  <r>
    <x v="10"/>
    <x v="10"/>
    <x v="0"/>
    <x v="36"/>
    <x v="1"/>
    <x v="15"/>
    <x v="14"/>
    <x v="10"/>
    <x v="1"/>
    <x v="1"/>
  </r>
  <r>
    <x v="10"/>
    <x v="10"/>
    <x v="0"/>
    <x v="37"/>
    <x v="1"/>
    <x v="15"/>
    <x v="14"/>
    <x v="10"/>
    <x v="1"/>
    <x v="1"/>
  </r>
  <r>
    <x v="10"/>
    <x v="10"/>
    <x v="0"/>
    <x v="38"/>
    <x v="1"/>
    <x v="16"/>
    <x v="15"/>
    <x v="10"/>
    <x v="1"/>
    <x v="1"/>
  </r>
  <r>
    <x v="10"/>
    <x v="10"/>
    <x v="0"/>
    <x v="39"/>
    <x v="1"/>
    <x v="15"/>
    <x v="14"/>
    <x v="10"/>
    <x v="1"/>
    <x v="1"/>
  </r>
  <r>
    <x v="10"/>
    <x v="10"/>
    <x v="0"/>
    <x v="40"/>
    <x v="1"/>
    <x v="15"/>
    <x v="14"/>
    <x v="10"/>
    <x v="1"/>
    <x v="1"/>
  </r>
  <r>
    <x v="10"/>
    <x v="10"/>
    <x v="0"/>
    <x v="41"/>
    <x v="2"/>
    <x v="16"/>
    <x v="15"/>
    <x v="10"/>
    <x v="1"/>
    <x v="1"/>
  </r>
  <r>
    <x v="11"/>
    <x v="11"/>
    <x v="0"/>
    <x v="42"/>
    <x v="0"/>
    <x v="17"/>
    <x v="16"/>
    <x v="4"/>
    <x v="0"/>
    <x v="0"/>
  </r>
  <r>
    <x v="11"/>
    <x v="11"/>
    <x v="0"/>
    <x v="43"/>
    <x v="1"/>
    <x v="17"/>
    <x v="16"/>
    <x v="4"/>
    <x v="0"/>
    <x v="0"/>
  </r>
  <r>
    <x v="11"/>
    <x v="11"/>
    <x v="0"/>
    <x v="44"/>
    <x v="2"/>
    <x v="17"/>
    <x v="16"/>
    <x v="4"/>
    <x v="0"/>
    <x v="0"/>
  </r>
  <r>
    <x v="12"/>
    <x v="12"/>
    <x v="0"/>
    <x v="45"/>
    <x v="0"/>
    <x v="18"/>
    <x v="17"/>
    <x v="11"/>
    <x v="3"/>
    <x v="3"/>
  </r>
  <r>
    <x v="12"/>
    <x v="12"/>
    <x v="0"/>
    <x v="46"/>
    <x v="1"/>
    <x v="18"/>
    <x v="17"/>
    <x v="11"/>
    <x v="3"/>
    <x v="3"/>
  </r>
  <r>
    <x v="12"/>
    <x v="12"/>
    <x v="0"/>
    <x v="14"/>
    <x v="1"/>
    <x v="14"/>
    <x v="5"/>
    <x v="2"/>
    <x v="3"/>
    <x v="3"/>
  </r>
  <r>
    <x v="12"/>
    <x v="12"/>
    <x v="0"/>
    <x v="11"/>
    <x v="2"/>
    <x v="14"/>
    <x v="5"/>
    <x v="2"/>
    <x v="3"/>
    <x v="3"/>
  </r>
  <r>
    <x v="13"/>
    <x v="13"/>
    <x v="1"/>
    <x v="47"/>
    <x v="0"/>
    <x v="7"/>
    <x v="7"/>
    <x v="4"/>
    <x v="3"/>
    <x v="3"/>
  </r>
  <r>
    <x v="13"/>
    <x v="13"/>
    <x v="1"/>
    <x v="48"/>
    <x v="1"/>
    <x v="7"/>
    <x v="7"/>
    <x v="4"/>
    <x v="3"/>
    <x v="3"/>
  </r>
  <r>
    <x v="13"/>
    <x v="13"/>
    <x v="1"/>
    <x v="16"/>
    <x v="1"/>
    <x v="7"/>
    <x v="7"/>
    <x v="4"/>
    <x v="3"/>
    <x v="3"/>
  </r>
  <r>
    <x v="13"/>
    <x v="13"/>
    <x v="1"/>
    <x v="17"/>
    <x v="2"/>
    <x v="7"/>
    <x v="7"/>
    <x v="4"/>
    <x v="3"/>
    <x v="3"/>
  </r>
  <r>
    <x v="14"/>
    <x v="14"/>
    <x v="1"/>
    <x v="49"/>
    <x v="0"/>
    <x v="19"/>
    <x v="18"/>
    <x v="12"/>
    <x v="4"/>
    <x v="4"/>
  </r>
  <r>
    <x v="14"/>
    <x v="14"/>
    <x v="1"/>
    <x v="50"/>
    <x v="2"/>
    <x v="19"/>
    <x v="18"/>
    <x v="12"/>
    <x v="4"/>
    <x v="4"/>
  </r>
  <r>
    <x v="15"/>
    <x v="15"/>
    <x v="0"/>
    <x v="51"/>
    <x v="0"/>
    <x v="20"/>
    <x v="19"/>
    <x v="3"/>
    <x v="0"/>
    <x v="0"/>
  </r>
  <r>
    <x v="15"/>
    <x v="15"/>
    <x v="0"/>
    <x v="52"/>
    <x v="1"/>
    <x v="21"/>
    <x v="20"/>
    <x v="13"/>
    <x v="0"/>
    <x v="0"/>
  </r>
  <r>
    <x v="15"/>
    <x v="15"/>
    <x v="0"/>
    <x v="53"/>
    <x v="2"/>
    <x v="21"/>
    <x v="20"/>
    <x v="13"/>
    <x v="0"/>
    <x v="0"/>
  </r>
  <r>
    <x v="16"/>
    <x v="16"/>
    <x v="1"/>
    <x v="54"/>
    <x v="0"/>
    <x v="22"/>
    <x v="21"/>
    <x v="14"/>
    <x v="0"/>
    <x v="0"/>
  </r>
  <r>
    <x v="16"/>
    <x v="16"/>
    <x v="1"/>
    <x v="55"/>
    <x v="1"/>
    <x v="22"/>
    <x v="21"/>
    <x v="14"/>
    <x v="0"/>
    <x v="0"/>
  </r>
  <r>
    <x v="16"/>
    <x v="16"/>
    <x v="1"/>
    <x v="56"/>
    <x v="2"/>
    <x v="22"/>
    <x v="21"/>
    <x v="14"/>
    <x v="0"/>
    <x v="0"/>
  </r>
  <r>
    <x v="17"/>
    <x v="17"/>
    <x v="1"/>
    <x v="47"/>
    <x v="0"/>
    <x v="7"/>
    <x v="7"/>
    <x v="4"/>
    <x v="5"/>
    <x v="5"/>
  </r>
  <r>
    <x v="17"/>
    <x v="17"/>
    <x v="1"/>
    <x v="57"/>
    <x v="1"/>
    <x v="7"/>
    <x v="7"/>
    <x v="4"/>
    <x v="5"/>
    <x v="5"/>
  </r>
  <r>
    <x v="17"/>
    <x v="17"/>
    <x v="1"/>
    <x v="48"/>
    <x v="1"/>
    <x v="7"/>
    <x v="7"/>
    <x v="4"/>
    <x v="5"/>
    <x v="5"/>
  </r>
  <r>
    <x v="17"/>
    <x v="17"/>
    <x v="1"/>
    <x v="21"/>
    <x v="1"/>
    <x v="7"/>
    <x v="7"/>
    <x v="4"/>
    <x v="5"/>
    <x v="5"/>
  </r>
  <r>
    <x v="17"/>
    <x v="17"/>
    <x v="1"/>
    <x v="58"/>
    <x v="2"/>
    <x v="7"/>
    <x v="7"/>
    <x v="4"/>
    <x v="5"/>
    <x v="5"/>
  </r>
  <r>
    <x v="18"/>
    <x v="18"/>
    <x v="1"/>
    <x v="59"/>
    <x v="0"/>
    <x v="23"/>
    <x v="22"/>
    <x v="5"/>
    <x v="3"/>
    <x v="3"/>
  </r>
  <r>
    <x v="18"/>
    <x v="18"/>
    <x v="1"/>
    <x v="60"/>
    <x v="1"/>
    <x v="23"/>
    <x v="22"/>
    <x v="5"/>
    <x v="3"/>
    <x v="3"/>
  </r>
  <r>
    <x v="18"/>
    <x v="18"/>
    <x v="1"/>
    <x v="61"/>
    <x v="1"/>
    <x v="23"/>
    <x v="22"/>
    <x v="5"/>
    <x v="3"/>
    <x v="3"/>
  </r>
  <r>
    <x v="18"/>
    <x v="18"/>
    <x v="1"/>
    <x v="62"/>
    <x v="2"/>
    <x v="24"/>
    <x v="23"/>
    <x v="5"/>
    <x v="3"/>
    <x v="3"/>
  </r>
  <r>
    <x v="19"/>
    <x v="19"/>
    <x v="1"/>
    <x v="63"/>
    <x v="0"/>
    <x v="22"/>
    <x v="21"/>
    <x v="14"/>
    <x v="3"/>
    <x v="3"/>
  </r>
  <r>
    <x v="19"/>
    <x v="19"/>
    <x v="1"/>
    <x v="56"/>
    <x v="1"/>
    <x v="22"/>
    <x v="21"/>
    <x v="14"/>
    <x v="3"/>
    <x v="3"/>
  </r>
  <r>
    <x v="19"/>
    <x v="19"/>
    <x v="1"/>
    <x v="64"/>
    <x v="1"/>
    <x v="22"/>
    <x v="21"/>
    <x v="14"/>
    <x v="3"/>
    <x v="3"/>
  </r>
  <r>
    <x v="19"/>
    <x v="19"/>
    <x v="1"/>
    <x v="65"/>
    <x v="2"/>
    <x v="25"/>
    <x v="24"/>
    <x v="14"/>
    <x v="3"/>
    <x v="3"/>
  </r>
  <r>
    <x v="20"/>
    <x v="20"/>
    <x v="2"/>
    <x v="66"/>
    <x v="0"/>
    <x v="26"/>
    <x v="25"/>
    <x v="1"/>
    <x v="0"/>
    <x v="0"/>
  </r>
  <r>
    <x v="20"/>
    <x v="20"/>
    <x v="2"/>
    <x v="67"/>
    <x v="1"/>
    <x v="27"/>
    <x v="26"/>
    <x v="12"/>
    <x v="0"/>
    <x v="0"/>
  </r>
  <r>
    <x v="20"/>
    <x v="20"/>
    <x v="2"/>
    <x v="68"/>
    <x v="2"/>
    <x v="26"/>
    <x v="25"/>
    <x v="1"/>
    <x v="0"/>
    <x v="0"/>
  </r>
  <r>
    <x v="21"/>
    <x v="21"/>
    <x v="1"/>
    <x v="69"/>
    <x v="0"/>
    <x v="28"/>
    <x v="27"/>
    <x v="3"/>
    <x v="6"/>
    <x v="6"/>
  </r>
  <r>
    <x v="21"/>
    <x v="21"/>
    <x v="1"/>
    <x v="70"/>
    <x v="1"/>
    <x v="29"/>
    <x v="28"/>
    <x v="3"/>
    <x v="6"/>
    <x v="6"/>
  </r>
  <r>
    <x v="21"/>
    <x v="21"/>
    <x v="1"/>
    <x v="71"/>
    <x v="1"/>
    <x v="28"/>
    <x v="27"/>
    <x v="3"/>
    <x v="6"/>
    <x v="6"/>
  </r>
  <r>
    <x v="21"/>
    <x v="21"/>
    <x v="1"/>
    <x v="72"/>
    <x v="1"/>
    <x v="30"/>
    <x v="29"/>
    <x v="3"/>
    <x v="6"/>
    <x v="6"/>
  </r>
  <r>
    <x v="21"/>
    <x v="21"/>
    <x v="1"/>
    <x v="73"/>
    <x v="1"/>
    <x v="28"/>
    <x v="27"/>
    <x v="3"/>
    <x v="6"/>
    <x v="6"/>
  </r>
  <r>
    <x v="21"/>
    <x v="21"/>
    <x v="1"/>
    <x v="74"/>
    <x v="2"/>
    <x v="28"/>
    <x v="27"/>
    <x v="3"/>
    <x v="6"/>
    <x v="6"/>
  </r>
  <r>
    <x v="22"/>
    <x v="22"/>
    <x v="2"/>
    <x v="18"/>
    <x v="0"/>
    <x v="7"/>
    <x v="7"/>
    <x v="4"/>
    <x v="0"/>
    <x v="0"/>
  </r>
  <r>
    <x v="22"/>
    <x v="22"/>
    <x v="2"/>
    <x v="75"/>
    <x v="1"/>
    <x v="7"/>
    <x v="7"/>
    <x v="4"/>
    <x v="0"/>
    <x v="0"/>
  </r>
  <r>
    <x v="22"/>
    <x v="22"/>
    <x v="2"/>
    <x v="22"/>
    <x v="2"/>
    <x v="31"/>
    <x v="30"/>
    <x v="5"/>
    <x v="0"/>
    <x v="0"/>
  </r>
  <r>
    <x v="23"/>
    <x v="23"/>
    <x v="2"/>
    <x v="76"/>
    <x v="0"/>
    <x v="32"/>
    <x v="31"/>
    <x v="10"/>
    <x v="3"/>
    <x v="3"/>
  </r>
  <r>
    <x v="23"/>
    <x v="23"/>
    <x v="2"/>
    <x v="77"/>
    <x v="1"/>
    <x v="32"/>
    <x v="31"/>
    <x v="10"/>
    <x v="3"/>
    <x v="3"/>
  </r>
  <r>
    <x v="23"/>
    <x v="23"/>
    <x v="2"/>
    <x v="78"/>
    <x v="1"/>
    <x v="32"/>
    <x v="31"/>
    <x v="10"/>
    <x v="3"/>
    <x v="3"/>
  </r>
  <r>
    <x v="23"/>
    <x v="23"/>
    <x v="2"/>
    <x v="79"/>
    <x v="2"/>
    <x v="32"/>
    <x v="31"/>
    <x v="10"/>
    <x v="3"/>
    <x v="3"/>
  </r>
  <r>
    <x v="24"/>
    <x v="24"/>
    <x v="2"/>
    <x v="80"/>
    <x v="0"/>
    <x v="33"/>
    <x v="32"/>
    <x v="5"/>
    <x v="4"/>
    <x v="4"/>
  </r>
  <r>
    <x v="24"/>
    <x v="24"/>
    <x v="2"/>
    <x v="81"/>
    <x v="2"/>
    <x v="34"/>
    <x v="33"/>
    <x v="5"/>
    <x v="4"/>
    <x v="4"/>
  </r>
  <r>
    <x v="25"/>
    <x v="25"/>
    <x v="2"/>
    <x v="33"/>
    <x v="0"/>
    <x v="14"/>
    <x v="5"/>
    <x v="2"/>
    <x v="5"/>
    <x v="5"/>
  </r>
  <r>
    <x v="25"/>
    <x v="25"/>
    <x v="2"/>
    <x v="14"/>
    <x v="1"/>
    <x v="14"/>
    <x v="5"/>
    <x v="2"/>
    <x v="5"/>
    <x v="5"/>
  </r>
  <r>
    <x v="25"/>
    <x v="25"/>
    <x v="2"/>
    <x v="15"/>
    <x v="1"/>
    <x v="14"/>
    <x v="5"/>
    <x v="2"/>
    <x v="5"/>
    <x v="5"/>
  </r>
  <r>
    <x v="25"/>
    <x v="25"/>
    <x v="2"/>
    <x v="82"/>
    <x v="1"/>
    <x v="14"/>
    <x v="5"/>
    <x v="2"/>
    <x v="5"/>
    <x v="5"/>
  </r>
  <r>
    <x v="25"/>
    <x v="25"/>
    <x v="2"/>
    <x v="34"/>
    <x v="2"/>
    <x v="14"/>
    <x v="5"/>
    <x v="2"/>
    <x v="5"/>
    <x v="5"/>
  </r>
  <r>
    <x v="26"/>
    <x v="26"/>
    <x v="2"/>
    <x v="83"/>
    <x v="0"/>
    <x v="35"/>
    <x v="34"/>
    <x v="9"/>
    <x v="2"/>
    <x v="2"/>
  </r>
  <r>
    <x v="27"/>
    <x v="27"/>
    <x v="2"/>
    <x v="84"/>
    <x v="0"/>
    <x v="9"/>
    <x v="9"/>
    <x v="6"/>
    <x v="0"/>
    <x v="0"/>
  </r>
  <r>
    <x v="27"/>
    <x v="27"/>
    <x v="2"/>
    <x v="85"/>
    <x v="1"/>
    <x v="9"/>
    <x v="9"/>
    <x v="6"/>
    <x v="0"/>
    <x v="0"/>
  </r>
  <r>
    <x v="27"/>
    <x v="27"/>
    <x v="2"/>
    <x v="23"/>
    <x v="2"/>
    <x v="9"/>
    <x v="9"/>
    <x v="6"/>
    <x v="0"/>
    <x v="0"/>
  </r>
  <r>
    <x v="28"/>
    <x v="28"/>
    <x v="1"/>
    <x v="86"/>
    <x v="0"/>
    <x v="36"/>
    <x v="35"/>
    <x v="0"/>
    <x v="2"/>
    <x v="2"/>
  </r>
  <r>
    <x v="29"/>
    <x v="29"/>
    <x v="2"/>
    <x v="87"/>
    <x v="0"/>
    <x v="34"/>
    <x v="33"/>
    <x v="5"/>
    <x v="4"/>
    <x v="4"/>
  </r>
  <r>
    <x v="29"/>
    <x v="29"/>
    <x v="2"/>
    <x v="88"/>
    <x v="2"/>
    <x v="37"/>
    <x v="36"/>
    <x v="5"/>
    <x v="4"/>
    <x v="4"/>
  </r>
  <r>
    <x v="30"/>
    <x v="30"/>
    <x v="2"/>
    <x v="89"/>
    <x v="0"/>
    <x v="25"/>
    <x v="24"/>
    <x v="14"/>
    <x v="6"/>
    <x v="6"/>
  </r>
  <r>
    <x v="30"/>
    <x v="30"/>
    <x v="2"/>
    <x v="90"/>
    <x v="1"/>
    <x v="25"/>
    <x v="24"/>
    <x v="14"/>
    <x v="6"/>
    <x v="6"/>
  </r>
  <r>
    <x v="30"/>
    <x v="30"/>
    <x v="2"/>
    <x v="91"/>
    <x v="1"/>
    <x v="25"/>
    <x v="24"/>
    <x v="14"/>
    <x v="6"/>
    <x v="6"/>
  </r>
  <r>
    <x v="30"/>
    <x v="30"/>
    <x v="2"/>
    <x v="92"/>
    <x v="1"/>
    <x v="25"/>
    <x v="24"/>
    <x v="14"/>
    <x v="6"/>
    <x v="6"/>
  </r>
  <r>
    <x v="30"/>
    <x v="30"/>
    <x v="2"/>
    <x v="93"/>
    <x v="1"/>
    <x v="22"/>
    <x v="21"/>
    <x v="14"/>
    <x v="6"/>
    <x v="6"/>
  </r>
  <r>
    <x v="30"/>
    <x v="30"/>
    <x v="2"/>
    <x v="94"/>
    <x v="2"/>
    <x v="25"/>
    <x v="24"/>
    <x v="14"/>
    <x v="6"/>
    <x v="6"/>
  </r>
  <r>
    <x v="31"/>
    <x v="31"/>
    <x v="3"/>
    <x v="95"/>
    <x v="0"/>
    <x v="38"/>
    <x v="37"/>
    <x v="10"/>
    <x v="5"/>
    <x v="5"/>
  </r>
  <r>
    <x v="31"/>
    <x v="31"/>
    <x v="3"/>
    <x v="96"/>
    <x v="1"/>
    <x v="35"/>
    <x v="34"/>
    <x v="9"/>
    <x v="5"/>
    <x v="5"/>
  </r>
  <r>
    <x v="31"/>
    <x v="31"/>
    <x v="3"/>
    <x v="97"/>
    <x v="1"/>
    <x v="38"/>
    <x v="37"/>
    <x v="10"/>
    <x v="5"/>
    <x v="5"/>
  </r>
  <r>
    <x v="31"/>
    <x v="31"/>
    <x v="3"/>
    <x v="98"/>
    <x v="1"/>
    <x v="38"/>
    <x v="37"/>
    <x v="10"/>
    <x v="5"/>
    <x v="5"/>
  </r>
  <r>
    <x v="31"/>
    <x v="31"/>
    <x v="3"/>
    <x v="80"/>
    <x v="2"/>
    <x v="33"/>
    <x v="32"/>
    <x v="5"/>
    <x v="5"/>
    <x v="5"/>
  </r>
  <r>
    <x v="32"/>
    <x v="32"/>
    <x v="3"/>
    <x v="99"/>
    <x v="0"/>
    <x v="39"/>
    <x v="38"/>
    <x v="15"/>
    <x v="3"/>
    <x v="3"/>
  </r>
  <r>
    <x v="32"/>
    <x v="32"/>
    <x v="3"/>
    <x v="100"/>
    <x v="1"/>
    <x v="39"/>
    <x v="38"/>
    <x v="15"/>
    <x v="3"/>
    <x v="3"/>
  </r>
  <r>
    <x v="32"/>
    <x v="32"/>
    <x v="3"/>
    <x v="101"/>
    <x v="1"/>
    <x v="39"/>
    <x v="38"/>
    <x v="15"/>
    <x v="3"/>
    <x v="3"/>
  </r>
  <r>
    <x v="32"/>
    <x v="32"/>
    <x v="3"/>
    <x v="102"/>
    <x v="2"/>
    <x v="39"/>
    <x v="38"/>
    <x v="15"/>
    <x v="3"/>
    <x v="3"/>
  </r>
  <r>
    <x v="33"/>
    <x v="33"/>
    <x v="3"/>
    <x v="103"/>
    <x v="0"/>
    <x v="40"/>
    <x v="39"/>
    <x v="10"/>
    <x v="3"/>
    <x v="3"/>
  </r>
  <r>
    <x v="33"/>
    <x v="33"/>
    <x v="3"/>
    <x v="104"/>
    <x v="1"/>
    <x v="40"/>
    <x v="39"/>
    <x v="10"/>
    <x v="3"/>
    <x v="3"/>
  </r>
  <r>
    <x v="33"/>
    <x v="33"/>
    <x v="3"/>
    <x v="105"/>
    <x v="1"/>
    <x v="40"/>
    <x v="39"/>
    <x v="10"/>
    <x v="3"/>
    <x v="3"/>
  </r>
  <r>
    <x v="33"/>
    <x v="33"/>
    <x v="3"/>
    <x v="106"/>
    <x v="2"/>
    <x v="40"/>
    <x v="39"/>
    <x v="10"/>
    <x v="3"/>
    <x v="3"/>
  </r>
  <r>
    <x v="34"/>
    <x v="34"/>
    <x v="3"/>
    <x v="107"/>
    <x v="0"/>
    <x v="41"/>
    <x v="40"/>
    <x v="9"/>
    <x v="3"/>
    <x v="3"/>
  </r>
  <r>
    <x v="34"/>
    <x v="34"/>
    <x v="3"/>
    <x v="108"/>
    <x v="1"/>
    <x v="41"/>
    <x v="40"/>
    <x v="9"/>
    <x v="3"/>
    <x v="3"/>
  </r>
  <r>
    <x v="34"/>
    <x v="34"/>
    <x v="3"/>
    <x v="109"/>
    <x v="1"/>
    <x v="41"/>
    <x v="40"/>
    <x v="9"/>
    <x v="3"/>
    <x v="3"/>
  </r>
  <r>
    <x v="34"/>
    <x v="34"/>
    <x v="3"/>
    <x v="110"/>
    <x v="2"/>
    <x v="42"/>
    <x v="41"/>
    <x v="16"/>
    <x v="3"/>
    <x v="3"/>
  </r>
  <r>
    <x v="35"/>
    <x v="35"/>
    <x v="3"/>
    <x v="111"/>
    <x v="0"/>
    <x v="43"/>
    <x v="42"/>
    <x v="4"/>
    <x v="0"/>
    <x v="0"/>
  </r>
  <r>
    <x v="35"/>
    <x v="35"/>
    <x v="3"/>
    <x v="112"/>
    <x v="1"/>
    <x v="43"/>
    <x v="42"/>
    <x v="4"/>
    <x v="0"/>
    <x v="0"/>
  </r>
  <r>
    <x v="35"/>
    <x v="35"/>
    <x v="3"/>
    <x v="113"/>
    <x v="2"/>
    <x v="43"/>
    <x v="42"/>
    <x v="4"/>
    <x v="0"/>
    <x v="0"/>
  </r>
  <r>
    <x v="36"/>
    <x v="36"/>
    <x v="3"/>
    <x v="114"/>
    <x v="0"/>
    <x v="44"/>
    <x v="43"/>
    <x v="17"/>
    <x v="6"/>
    <x v="6"/>
  </r>
  <r>
    <x v="36"/>
    <x v="36"/>
    <x v="3"/>
    <x v="115"/>
    <x v="1"/>
    <x v="44"/>
    <x v="43"/>
    <x v="17"/>
    <x v="6"/>
    <x v="6"/>
  </r>
  <r>
    <x v="36"/>
    <x v="36"/>
    <x v="3"/>
    <x v="116"/>
    <x v="1"/>
    <x v="44"/>
    <x v="43"/>
    <x v="17"/>
    <x v="6"/>
    <x v="6"/>
  </r>
  <r>
    <x v="36"/>
    <x v="36"/>
    <x v="3"/>
    <x v="68"/>
    <x v="1"/>
    <x v="16"/>
    <x v="44"/>
    <x v="18"/>
    <x v="6"/>
    <x v="6"/>
  </r>
  <r>
    <x v="36"/>
    <x v="36"/>
    <x v="3"/>
    <x v="117"/>
    <x v="1"/>
    <x v="45"/>
    <x v="45"/>
    <x v="1"/>
    <x v="6"/>
    <x v="6"/>
  </r>
  <r>
    <x v="36"/>
    <x v="36"/>
    <x v="3"/>
    <x v="118"/>
    <x v="2"/>
    <x v="16"/>
    <x v="44"/>
    <x v="1"/>
    <x v="6"/>
    <x v="6"/>
  </r>
  <r>
    <x v="37"/>
    <x v="37"/>
    <x v="4"/>
    <x v="119"/>
    <x v="0"/>
    <x v="14"/>
    <x v="5"/>
    <x v="2"/>
    <x v="3"/>
    <x v="3"/>
  </r>
  <r>
    <x v="37"/>
    <x v="37"/>
    <x v="4"/>
    <x v="120"/>
    <x v="1"/>
    <x v="14"/>
    <x v="5"/>
    <x v="2"/>
    <x v="3"/>
    <x v="3"/>
  </r>
  <r>
    <x v="37"/>
    <x v="37"/>
    <x v="4"/>
    <x v="14"/>
    <x v="1"/>
    <x v="14"/>
    <x v="5"/>
    <x v="2"/>
    <x v="3"/>
    <x v="3"/>
  </r>
  <r>
    <x v="37"/>
    <x v="37"/>
    <x v="4"/>
    <x v="121"/>
    <x v="2"/>
    <x v="14"/>
    <x v="5"/>
    <x v="2"/>
    <x v="3"/>
    <x v="3"/>
  </r>
  <r>
    <x v="38"/>
    <x v="38"/>
    <x v="3"/>
    <x v="122"/>
    <x v="0"/>
    <x v="46"/>
    <x v="46"/>
    <x v="11"/>
    <x v="3"/>
    <x v="3"/>
  </r>
  <r>
    <x v="38"/>
    <x v="38"/>
    <x v="3"/>
    <x v="123"/>
    <x v="1"/>
    <x v="47"/>
    <x v="47"/>
    <x v="5"/>
    <x v="3"/>
    <x v="3"/>
  </r>
  <r>
    <x v="38"/>
    <x v="38"/>
    <x v="3"/>
    <x v="67"/>
    <x v="1"/>
    <x v="48"/>
    <x v="26"/>
    <x v="12"/>
    <x v="3"/>
    <x v="3"/>
  </r>
  <r>
    <x v="38"/>
    <x v="38"/>
    <x v="3"/>
    <x v="124"/>
    <x v="2"/>
    <x v="4"/>
    <x v="4"/>
    <x v="1"/>
    <x v="3"/>
    <x v="3"/>
  </r>
  <r>
    <x v="39"/>
    <x v="39"/>
    <x v="4"/>
    <x v="125"/>
    <x v="0"/>
    <x v="49"/>
    <x v="48"/>
    <x v="19"/>
    <x v="0"/>
    <x v="0"/>
  </r>
  <r>
    <x v="39"/>
    <x v="39"/>
    <x v="4"/>
    <x v="126"/>
    <x v="1"/>
    <x v="49"/>
    <x v="48"/>
    <x v="19"/>
    <x v="0"/>
    <x v="0"/>
  </r>
  <r>
    <x v="39"/>
    <x v="39"/>
    <x v="4"/>
    <x v="127"/>
    <x v="2"/>
    <x v="49"/>
    <x v="48"/>
    <x v="19"/>
    <x v="0"/>
    <x v="0"/>
  </r>
  <r>
    <x v="40"/>
    <x v="40"/>
    <x v="4"/>
    <x v="128"/>
    <x v="0"/>
    <x v="50"/>
    <x v="49"/>
    <x v="4"/>
    <x v="4"/>
    <x v="4"/>
  </r>
  <r>
    <x v="40"/>
    <x v="40"/>
    <x v="4"/>
    <x v="129"/>
    <x v="2"/>
    <x v="50"/>
    <x v="49"/>
    <x v="4"/>
    <x v="4"/>
    <x v="4"/>
  </r>
  <r>
    <x v="41"/>
    <x v="41"/>
    <x v="4"/>
    <x v="130"/>
    <x v="0"/>
    <x v="51"/>
    <x v="50"/>
    <x v="5"/>
    <x v="4"/>
    <x v="4"/>
  </r>
  <r>
    <x v="41"/>
    <x v="41"/>
    <x v="4"/>
    <x v="131"/>
    <x v="2"/>
    <x v="51"/>
    <x v="50"/>
    <x v="5"/>
    <x v="4"/>
    <x v="4"/>
  </r>
  <r>
    <x v="42"/>
    <x v="42"/>
    <x v="4"/>
    <x v="132"/>
    <x v="0"/>
    <x v="52"/>
    <x v="51"/>
    <x v="0"/>
    <x v="4"/>
    <x v="4"/>
  </r>
  <r>
    <x v="42"/>
    <x v="42"/>
    <x v="4"/>
    <x v="133"/>
    <x v="2"/>
    <x v="52"/>
    <x v="51"/>
    <x v="0"/>
    <x v="4"/>
    <x v="4"/>
  </r>
  <r>
    <x v="43"/>
    <x v="43"/>
    <x v="4"/>
    <x v="134"/>
    <x v="0"/>
    <x v="12"/>
    <x v="12"/>
    <x v="8"/>
    <x v="3"/>
    <x v="3"/>
  </r>
  <r>
    <x v="43"/>
    <x v="43"/>
    <x v="4"/>
    <x v="135"/>
    <x v="1"/>
    <x v="16"/>
    <x v="52"/>
    <x v="13"/>
    <x v="3"/>
    <x v="3"/>
  </r>
  <r>
    <x v="43"/>
    <x v="43"/>
    <x v="4"/>
    <x v="136"/>
    <x v="1"/>
    <x v="53"/>
    <x v="53"/>
    <x v="13"/>
    <x v="3"/>
    <x v="3"/>
  </r>
  <r>
    <x v="43"/>
    <x v="43"/>
    <x v="4"/>
    <x v="137"/>
    <x v="2"/>
    <x v="53"/>
    <x v="53"/>
    <x v="13"/>
    <x v="3"/>
    <x v="3"/>
  </r>
  <r>
    <x v="44"/>
    <x v="44"/>
    <x v="3"/>
    <x v="138"/>
    <x v="0"/>
    <x v="54"/>
    <x v="54"/>
    <x v="20"/>
    <x v="0"/>
    <x v="0"/>
  </r>
  <r>
    <x v="44"/>
    <x v="44"/>
    <x v="3"/>
    <x v="139"/>
    <x v="1"/>
    <x v="55"/>
    <x v="55"/>
    <x v="4"/>
    <x v="0"/>
    <x v="0"/>
  </r>
  <r>
    <x v="44"/>
    <x v="44"/>
    <x v="3"/>
    <x v="140"/>
    <x v="2"/>
    <x v="55"/>
    <x v="55"/>
    <x v="4"/>
    <x v="0"/>
    <x v="0"/>
  </r>
  <r>
    <x v="45"/>
    <x v="45"/>
    <x v="4"/>
    <x v="141"/>
    <x v="0"/>
    <x v="16"/>
    <x v="56"/>
    <x v="7"/>
    <x v="5"/>
    <x v="5"/>
  </r>
  <r>
    <x v="45"/>
    <x v="45"/>
    <x v="4"/>
    <x v="142"/>
    <x v="1"/>
    <x v="16"/>
    <x v="57"/>
    <x v="7"/>
    <x v="5"/>
    <x v="5"/>
  </r>
  <r>
    <x v="45"/>
    <x v="45"/>
    <x v="4"/>
    <x v="143"/>
    <x v="1"/>
    <x v="56"/>
    <x v="56"/>
    <x v="7"/>
    <x v="5"/>
    <x v="5"/>
  </r>
  <r>
    <x v="45"/>
    <x v="45"/>
    <x v="4"/>
    <x v="144"/>
    <x v="1"/>
    <x v="16"/>
    <x v="56"/>
    <x v="7"/>
    <x v="5"/>
    <x v="5"/>
  </r>
  <r>
    <x v="45"/>
    <x v="45"/>
    <x v="4"/>
    <x v="145"/>
    <x v="2"/>
    <x v="16"/>
    <x v="56"/>
    <x v="7"/>
    <x v="5"/>
    <x v="5"/>
  </r>
  <r>
    <x v="46"/>
    <x v="46"/>
    <x v="2"/>
    <x v="146"/>
    <x v="0"/>
    <x v="39"/>
    <x v="38"/>
    <x v="15"/>
    <x v="4"/>
    <x v="4"/>
  </r>
  <r>
    <x v="46"/>
    <x v="46"/>
    <x v="2"/>
    <x v="147"/>
    <x v="2"/>
    <x v="39"/>
    <x v="38"/>
    <x v="15"/>
    <x v="4"/>
    <x v="4"/>
  </r>
  <r>
    <x v="47"/>
    <x v="47"/>
    <x v="5"/>
    <x v="148"/>
    <x v="0"/>
    <x v="57"/>
    <x v="58"/>
    <x v="11"/>
    <x v="4"/>
    <x v="4"/>
  </r>
  <r>
    <x v="47"/>
    <x v="47"/>
    <x v="5"/>
    <x v="149"/>
    <x v="2"/>
    <x v="57"/>
    <x v="58"/>
    <x v="11"/>
    <x v="4"/>
    <x v="4"/>
  </r>
  <r>
    <x v="48"/>
    <x v="48"/>
    <x v="5"/>
    <x v="150"/>
    <x v="0"/>
    <x v="58"/>
    <x v="59"/>
    <x v="21"/>
    <x v="4"/>
    <x v="4"/>
  </r>
  <r>
    <x v="48"/>
    <x v="48"/>
    <x v="5"/>
    <x v="151"/>
    <x v="2"/>
    <x v="58"/>
    <x v="59"/>
    <x v="21"/>
    <x v="4"/>
    <x v="4"/>
  </r>
  <r>
    <x v="49"/>
    <x v="49"/>
    <x v="5"/>
    <x v="152"/>
    <x v="0"/>
    <x v="59"/>
    <x v="60"/>
    <x v="22"/>
    <x v="0"/>
    <x v="0"/>
  </r>
  <r>
    <x v="49"/>
    <x v="49"/>
    <x v="5"/>
    <x v="153"/>
    <x v="1"/>
    <x v="59"/>
    <x v="60"/>
    <x v="22"/>
    <x v="0"/>
    <x v="0"/>
  </r>
  <r>
    <x v="49"/>
    <x v="49"/>
    <x v="5"/>
    <x v="154"/>
    <x v="2"/>
    <x v="60"/>
    <x v="61"/>
    <x v="12"/>
    <x v="0"/>
    <x v="0"/>
  </r>
  <r>
    <x v="50"/>
    <x v="50"/>
    <x v="4"/>
    <x v="155"/>
    <x v="0"/>
    <x v="61"/>
    <x v="62"/>
    <x v="23"/>
    <x v="4"/>
    <x v="4"/>
  </r>
  <r>
    <x v="50"/>
    <x v="50"/>
    <x v="4"/>
    <x v="156"/>
    <x v="2"/>
    <x v="61"/>
    <x v="62"/>
    <x v="23"/>
    <x v="4"/>
    <x v="4"/>
  </r>
  <r>
    <x v="51"/>
    <x v="51"/>
    <x v="5"/>
    <x v="157"/>
    <x v="0"/>
    <x v="62"/>
    <x v="63"/>
    <x v="10"/>
    <x v="0"/>
    <x v="0"/>
  </r>
  <r>
    <x v="51"/>
    <x v="51"/>
    <x v="5"/>
    <x v="158"/>
    <x v="1"/>
    <x v="62"/>
    <x v="63"/>
    <x v="10"/>
    <x v="0"/>
    <x v="0"/>
  </r>
  <r>
    <x v="51"/>
    <x v="51"/>
    <x v="5"/>
    <x v="159"/>
    <x v="2"/>
    <x v="62"/>
    <x v="63"/>
    <x v="10"/>
    <x v="0"/>
    <x v="0"/>
  </r>
  <r>
    <x v="52"/>
    <x v="52"/>
    <x v="5"/>
    <x v="160"/>
    <x v="0"/>
    <x v="63"/>
    <x v="64"/>
    <x v="10"/>
    <x v="3"/>
    <x v="3"/>
  </r>
  <r>
    <x v="52"/>
    <x v="52"/>
    <x v="5"/>
    <x v="161"/>
    <x v="1"/>
    <x v="64"/>
    <x v="65"/>
    <x v="5"/>
    <x v="3"/>
    <x v="3"/>
  </r>
  <r>
    <x v="52"/>
    <x v="52"/>
    <x v="5"/>
    <x v="162"/>
    <x v="1"/>
    <x v="64"/>
    <x v="65"/>
    <x v="5"/>
    <x v="3"/>
    <x v="3"/>
  </r>
  <r>
    <x v="52"/>
    <x v="52"/>
    <x v="5"/>
    <x v="163"/>
    <x v="2"/>
    <x v="65"/>
    <x v="66"/>
    <x v="4"/>
    <x v="3"/>
    <x v="3"/>
  </r>
  <r>
    <x v="53"/>
    <x v="53"/>
    <x v="5"/>
    <x v="164"/>
    <x v="0"/>
    <x v="4"/>
    <x v="4"/>
    <x v="1"/>
    <x v="0"/>
    <x v="0"/>
  </r>
  <r>
    <x v="53"/>
    <x v="53"/>
    <x v="5"/>
    <x v="7"/>
    <x v="1"/>
    <x v="66"/>
    <x v="67"/>
    <x v="13"/>
    <x v="0"/>
    <x v="0"/>
  </r>
  <r>
    <x v="53"/>
    <x v="53"/>
    <x v="5"/>
    <x v="8"/>
    <x v="2"/>
    <x v="4"/>
    <x v="4"/>
    <x v="1"/>
    <x v="0"/>
    <x v="0"/>
  </r>
  <r>
    <x v="54"/>
    <x v="54"/>
    <x v="5"/>
    <x v="111"/>
    <x v="0"/>
    <x v="67"/>
    <x v="68"/>
    <x v="4"/>
    <x v="4"/>
    <x v="4"/>
  </r>
  <r>
    <x v="54"/>
    <x v="54"/>
    <x v="5"/>
    <x v="165"/>
    <x v="2"/>
    <x v="7"/>
    <x v="7"/>
    <x v="4"/>
    <x v="4"/>
    <x v="4"/>
  </r>
  <r>
    <x v="55"/>
    <x v="55"/>
    <x v="4"/>
    <x v="166"/>
    <x v="0"/>
    <x v="68"/>
    <x v="69"/>
    <x v="9"/>
    <x v="6"/>
    <x v="6"/>
  </r>
  <r>
    <x v="55"/>
    <x v="55"/>
    <x v="4"/>
    <x v="167"/>
    <x v="1"/>
    <x v="68"/>
    <x v="69"/>
    <x v="9"/>
    <x v="6"/>
    <x v="6"/>
  </r>
  <r>
    <x v="55"/>
    <x v="55"/>
    <x v="4"/>
    <x v="168"/>
    <x v="1"/>
    <x v="69"/>
    <x v="70"/>
    <x v="9"/>
    <x v="6"/>
    <x v="6"/>
  </r>
  <r>
    <x v="55"/>
    <x v="55"/>
    <x v="4"/>
    <x v="169"/>
    <x v="1"/>
    <x v="69"/>
    <x v="70"/>
    <x v="9"/>
    <x v="6"/>
    <x v="6"/>
  </r>
  <r>
    <x v="55"/>
    <x v="55"/>
    <x v="4"/>
    <x v="138"/>
    <x v="1"/>
    <x v="54"/>
    <x v="54"/>
    <x v="20"/>
    <x v="6"/>
    <x v="6"/>
  </r>
  <r>
    <x v="55"/>
    <x v="55"/>
    <x v="4"/>
    <x v="170"/>
    <x v="2"/>
    <x v="54"/>
    <x v="54"/>
    <x v="20"/>
    <x v="6"/>
    <x v="6"/>
  </r>
  <r>
    <x v="56"/>
    <x v="56"/>
    <x v="5"/>
    <x v="171"/>
    <x v="0"/>
    <x v="70"/>
    <x v="71"/>
    <x v="16"/>
    <x v="6"/>
    <x v="6"/>
  </r>
  <r>
    <x v="56"/>
    <x v="56"/>
    <x v="5"/>
    <x v="172"/>
    <x v="1"/>
    <x v="71"/>
    <x v="72"/>
    <x v="16"/>
    <x v="6"/>
    <x v="6"/>
  </r>
  <r>
    <x v="56"/>
    <x v="56"/>
    <x v="5"/>
    <x v="173"/>
    <x v="1"/>
    <x v="71"/>
    <x v="72"/>
    <x v="16"/>
    <x v="6"/>
    <x v="6"/>
  </r>
  <r>
    <x v="56"/>
    <x v="56"/>
    <x v="5"/>
    <x v="174"/>
    <x v="1"/>
    <x v="70"/>
    <x v="71"/>
    <x v="16"/>
    <x v="6"/>
    <x v="6"/>
  </r>
  <r>
    <x v="56"/>
    <x v="56"/>
    <x v="5"/>
    <x v="175"/>
    <x v="1"/>
    <x v="71"/>
    <x v="72"/>
    <x v="16"/>
    <x v="6"/>
    <x v="6"/>
  </r>
  <r>
    <x v="56"/>
    <x v="56"/>
    <x v="5"/>
    <x v="176"/>
    <x v="2"/>
    <x v="71"/>
    <x v="72"/>
    <x v="16"/>
    <x v="6"/>
    <x v="6"/>
  </r>
  <r>
    <x v="57"/>
    <x v="57"/>
    <x v="6"/>
    <x v="177"/>
    <x v="0"/>
    <x v="72"/>
    <x v="73"/>
    <x v="24"/>
    <x v="4"/>
    <x v="4"/>
  </r>
  <r>
    <x v="57"/>
    <x v="57"/>
    <x v="6"/>
    <x v="178"/>
    <x v="2"/>
    <x v="72"/>
    <x v="73"/>
    <x v="24"/>
    <x v="4"/>
    <x v="4"/>
  </r>
  <r>
    <x v="58"/>
    <x v="58"/>
    <x v="6"/>
    <x v="179"/>
    <x v="0"/>
    <x v="16"/>
    <x v="74"/>
    <x v="12"/>
    <x v="3"/>
    <x v="3"/>
  </r>
  <r>
    <x v="58"/>
    <x v="58"/>
    <x v="6"/>
    <x v="180"/>
    <x v="1"/>
    <x v="16"/>
    <x v="74"/>
    <x v="12"/>
    <x v="3"/>
    <x v="3"/>
  </r>
  <r>
    <x v="58"/>
    <x v="58"/>
    <x v="6"/>
    <x v="181"/>
    <x v="1"/>
    <x v="73"/>
    <x v="75"/>
    <x v="12"/>
    <x v="3"/>
    <x v="3"/>
  </r>
  <r>
    <x v="58"/>
    <x v="58"/>
    <x v="6"/>
    <x v="182"/>
    <x v="2"/>
    <x v="73"/>
    <x v="75"/>
    <x v="12"/>
    <x v="3"/>
    <x v="3"/>
  </r>
  <r>
    <x v="59"/>
    <x v="59"/>
    <x v="6"/>
    <x v="183"/>
    <x v="0"/>
    <x v="74"/>
    <x v="76"/>
    <x v="10"/>
    <x v="6"/>
    <x v="6"/>
  </r>
  <r>
    <x v="59"/>
    <x v="59"/>
    <x v="6"/>
    <x v="105"/>
    <x v="1"/>
    <x v="40"/>
    <x v="39"/>
    <x v="10"/>
    <x v="6"/>
    <x v="6"/>
  </r>
  <r>
    <x v="59"/>
    <x v="59"/>
    <x v="6"/>
    <x v="184"/>
    <x v="1"/>
    <x v="74"/>
    <x v="76"/>
    <x v="10"/>
    <x v="6"/>
    <x v="6"/>
  </r>
  <r>
    <x v="59"/>
    <x v="59"/>
    <x v="6"/>
    <x v="185"/>
    <x v="1"/>
    <x v="74"/>
    <x v="76"/>
    <x v="10"/>
    <x v="6"/>
    <x v="6"/>
  </r>
  <r>
    <x v="59"/>
    <x v="59"/>
    <x v="6"/>
    <x v="186"/>
    <x v="1"/>
    <x v="74"/>
    <x v="76"/>
    <x v="10"/>
    <x v="6"/>
    <x v="6"/>
  </r>
  <r>
    <x v="59"/>
    <x v="59"/>
    <x v="6"/>
    <x v="187"/>
    <x v="2"/>
    <x v="74"/>
    <x v="76"/>
    <x v="10"/>
    <x v="6"/>
    <x v="6"/>
  </r>
  <r>
    <x v="60"/>
    <x v="60"/>
    <x v="5"/>
    <x v="173"/>
    <x v="0"/>
    <x v="75"/>
    <x v="77"/>
    <x v="16"/>
    <x v="3"/>
    <x v="3"/>
  </r>
  <r>
    <x v="60"/>
    <x v="60"/>
    <x v="5"/>
    <x v="188"/>
    <x v="1"/>
    <x v="75"/>
    <x v="77"/>
    <x v="16"/>
    <x v="3"/>
    <x v="3"/>
  </r>
  <r>
    <x v="60"/>
    <x v="60"/>
    <x v="5"/>
    <x v="189"/>
    <x v="1"/>
    <x v="76"/>
    <x v="78"/>
    <x v="14"/>
    <x v="3"/>
    <x v="3"/>
  </r>
  <r>
    <x v="60"/>
    <x v="60"/>
    <x v="5"/>
    <x v="190"/>
    <x v="2"/>
    <x v="76"/>
    <x v="78"/>
    <x v="14"/>
    <x v="3"/>
    <x v="3"/>
  </r>
  <r>
    <x v="61"/>
    <x v="61"/>
    <x v="7"/>
    <x v="191"/>
    <x v="0"/>
    <x v="77"/>
    <x v="79"/>
    <x v="9"/>
    <x v="0"/>
    <x v="0"/>
  </r>
  <r>
    <x v="61"/>
    <x v="61"/>
    <x v="7"/>
    <x v="192"/>
    <x v="1"/>
    <x v="77"/>
    <x v="79"/>
    <x v="9"/>
    <x v="0"/>
    <x v="0"/>
  </r>
  <r>
    <x v="61"/>
    <x v="61"/>
    <x v="7"/>
    <x v="193"/>
    <x v="2"/>
    <x v="77"/>
    <x v="79"/>
    <x v="9"/>
    <x v="0"/>
    <x v="0"/>
  </r>
  <r>
    <x v="62"/>
    <x v="62"/>
    <x v="7"/>
    <x v="194"/>
    <x v="0"/>
    <x v="78"/>
    <x v="80"/>
    <x v="16"/>
    <x v="0"/>
    <x v="0"/>
  </r>
  <r>
    <x v="62"/>
    <x v="62"/>
    <x v="7"/>
    <x v="188"/>
    <x v="1"/>
    <x v="78"/>
    <x v="80"/>
    <x v="16"/>
    <x v="0"/>
    <x v="0"/>
  </r>
  <r>
    <x v="62"/>
    <x v="62"/>
    <x v="7"/>
    <x v="195"/>
    <x v="2"/>
    <x v="79"/>
    <x v="81"/>
    <x v="16"/>
    <x v="0"/>
    <x v="0"/>
  </r>
  <r>
    <x v="63"/>
    <x v="63"/>
    <x v="7"/>
    <x v="196"/>
    <x v="0"/>
    <x v="80"/>
    <x v="82"/>
    <x v="5"/>
    <x v="3"/>
    <x v="3"/>
  </r>
  <r>
    <x v="63"/>
    <x v="63"/>
    <x v="7"/>
    <x v="197"/>
    <x v="1"/>
    <x v="81"/>
    <x v="83"/>
    <x v="5"/>
    <x v="3"/>
    <x v="3"/>
  </r>
  <r>
    <x v="63"/>
    <x v="63"/>
    <x v="7"/>
    <x v="198"/>
    <x v="1"/>
    <x v="23"/>
    <x v="22"/>
    <x v="5"/>
    <x v="3"/>
    <x v="3"/>
  </r>
  <r>
    <x v="63"/>
    <x v="63"/>
    <x v="7"/>
    <x v="199"/>
    <x v="2"/>
    <x v="82"/>
    <x v="84"/>
    <x v="5"/>
    <x v="3"/>
    <x v="3"/>
  </r>
  <r>
    <x v="64"/>
    <x v="64"/>
    <x v="7"/>
    <x v="200"/>
    <x v="0"/>
    <x v="83"/>
    <x v="85"/>
    <x v="10"/>
    <x v="1"/>
    <x v="1"/>
  </r>
  <r>
    <x v="64"/>
    <x v="64"/>
    <x v="7"/>
    <x v="201"/>
    <x v="1"/>
    <x v="83"/>
    <x v="85"/>
    <x v="10"/>
    <x v="1"/>
    <x v="1"/>
  </r>
  <r>
    <x v="64"/>
    <x v="64"/>
    <x v="7"/>
    <x v="202"/>
    <x v="1"/>
    <x v="84"/>
    <x v="86"/>
    <x v="9"/>
    <x v="1"/>
    <x v="1"/>
  </r>
  <r>
    <x v="64"/>
    <x v="64"/>
    <x v="7"/>
    <x v="203"/>
    <x v="1"/>
    <x v="83"/>
    <x v="85"/>
    <x v="10"/>
    <x v="1"/>
    <x v="1"/>
  </r>
  <r>
    <x v="64"/>
    <x v="64"/>
    <x v="7"/>
    <x v="204"/>
    <x v="1"/>
    <x v="83"/>
    <x v="85"/>
    <x v="10"/>
    <x v="1"/>
    <x v="1"/>
  </r>
  <r>
    <x v="64"/>
    <x v="64"/>
    <x v="7"/>
    <x v="205"/>
    <x v="1"/>
    <x v="83"/>
    <x v="85"/>
    <x v="10"/>
    <x v="1"/>
    <x v="1"/>
  </r>
  <r>
    <x v="64"/>
    <x v="64"/>
    <x v="7"/>
    <x v="206"/>
    <x v="2"/>
    <x v="83"/>
    <x v="85"/>
    <x v="10"/>
    <x v="1"/>
    <x v="1"/>
  </r>
  <r>
    <x v="65"/>
    <x v="65"/>
    <x v="6"/>
    <x v="207"/>
    <x v="0"/>
    <x v="85"/>
    <x v="87"/>
    <x v="19"/>
    <x v="3"/>
    <x v="3"/>
  </r>
  <r>
    <x v="65"/>
    <x v="65"/>
    <x v="6"/>
    <x v="208"/>
    <x v="1"/>
    <x v="49"/>
    <x v="48"/>
    <x v="19"/>
    <x v="3"/>
    <x v="3"/>
  </r>
  <r>
    <x v="65"/>
    <x v="65"/>
    <x v="6"/>
    <x v="209"/>
    <x v="1"/>
    <x v="49"/>
    <x v="48"/>
    <x v="19"/>
    <x v="3"/>
    <x v="3"/>
  </r>
  <r>
    <x v="65"/>
    <x v="65"/>
    <x v="6"/>
    <x v="210"/>
    <x v="2"/>
    <x v="86"/>
    <x v="88"/>
    <x v="19"/>
    <x v="3"/>
    <x v="3"/>
  </r>
  <r>
    <x v="66"/>
    <x v="66"/>
    <x v="7"/>
    <x v="211"/>
    <x v="0"/>
    <x v="87"/>
    <x v="89"/>
    <x v="4"/>
    <x v="0"/>
    <x v="0"/>
  </r>
  <r>
    <x v="66"/>
    <x v="66"/>
    <x v="7"/>
    <x v="212"/>
    <x v="1"/>
    <x v="87"/>
    <x v="89"/>
    <x v="4"/>
    <x v="0"/>
    <x v="0"/>
  </r>
  <r>
    <x v="66"/>
    <x v="66"/>
    <x v="7"/>
    <x v="213"/>
    <x v="2"/>
    <x v="87"/>
    <x v="89"/>
    <x v="4"/>
    <x v="0"/>
    <x v="0"/>
  </r>
  <r>
    <x v="67"/>
    <x v="67"/>
    <x v="7"/>
    <x v="214"/>
    <x v="0"/>
    <x v="88"/>
    <x v="90"/>
    <x v="25"/>
    <x v="3"/>
    <x v="3"/>
  </r>
  <r>
    <x v="67"/>
    <x v="67"/>
    <x v="7"/>
    <x v="215"/>
    <x v="1"/>
    <x v="89"/>
    <x v="91"/>
    <x v="13"/>
    <x v="3"/>
    <x v="3"/>
  </r>
  <r>
    <x v="67"/>
    <x v="67"/>
    <x v="7"/>
    <x v="216"/>
    <x v="1"/>
    <x v="22"/>
    <x v="21"/>
    <x v="14"/>
    <x v="3"/>
    <x v="3"/>
  </r>
  <r>
    <x v="67"/>
    <x v="67"/>
    <x v="7"/>
    <x v="217"/>
    <x v="2"/>
    <x v="22"/>
    <x v="21"/>
    <x v="14"/>
    <x v="3"/>
    <x v="3"/>
  </r>
  <r>
    <x v="68"/>
    <x v="68"/>
    <x v="7"/>
    <x v="218"/>
    <x v="0"/>
    <x v="90"/>
    <x v="92"/>
    <x v="17"/>
    <x v="4"/>
    <x v="4"/>
  </r>
  <r>
    <x v="68"/>
    <x v="68"/>
    <x v="7"/>
    <x v="219"/>
    <x v="2"/>
    <x v="90"/>
    <x v="92"/>
    <x v="17"/>
    <x v="4"/>
    <x v="4"/>
  </r>
  <r>
    <x v="69"/>
    <x v="69"/>
    <x v="7"/>
    <x v="152"/>
    <x v="0"/>
    <x v="59"/>
    <x v="60"/>
    <x v="22"/>
    <x v="3"/>
    <x v="3"/>
  </r>
  <r>
    <x v="69"/>
    <x v="69"/>
    <x v="7"/>
    <x v="220"/>
    <x v="1"/>
    <x v="59"/>
    <x v="60"/>
    <x v="22"/>
    <x v="3"/>
    <x v="3"/>
  </r>
  <r>
    <x v="69"/>
    <x v="69"/>
    <x v="7"/>
    <x v="153"/>
    <x v="1"/>
    <x v="59"/>
    <x v="60"/>
    <x v="22"/>
    <x v="3"/>
    <x v="3"/>
  </r>
  <r>
    <x v="69"/>
    <x v="69"/>
    <x v="7"/>
    <x v="154"/>
    <x v="2"/>
    <x v="60"/>
    <x v="61"/>
    <x v="12"/>
    <x v="3"/>
    <x v="3"/>
  </r>
  <r>
    <x v="70"/>
    <x v="70"/>
    <x v="7"/>
    <x v="221"/>
    <x v="0"/>
    <x v="91"/>
    <x v="93"/>
    <x v="4"/>
    <x v="1"/>
    <x v="1"/>
  </r>
  <r>
    <x v="70"/>
    <x v="70"/>
    <x v="7"/>
    <x v="222"/>
    <x v="1"/>
    <x v="92"/>
    <x v="94"/>
    <x v="4"/>
    <x v="1"/>
    <x v="1"/>
  </r>
  <r>
    <x v="70"/>
    <x v="70"/>
    <x v="7"/>
    <x v="223"/>
    <x v="1"/>
    <x v="92"/>
    <x v="94"/>
    <x v="4"/>
    <x v="1"/>
    <x v="1"/>
  </r>
  <r>
    <x v="70"/>
    <x v="70"/>
    <x v="7"/>
    <x v="224"/>
    <x v="1"/>
    <x v="92"/>
    <x v="94"/>
    <x v="4"/>
    <x v="1"/>
    <x v="1"/>
  </r>
  <r>
    <x v="70"/>
    <x v="70"/>
    <x v="7"/>
    <x v="225"/>
    <x v="1"/>
    <x v="91"/>
    <x v="93"/>
    <x v="4"/>
    <x v="1"/>
    <x v="1"/>
  </r>
  <r>
    <x v="70"/>
    <x v="70"/>
    <x v="7"/>
    <x v="226"/>
    <x v="1"/>
    <x v="93"/>
    <x v="95"/>
    <x v="4"/>
    <x v="1"/>
    <x v="1"/>
  </r>
  <r>
    <x v="70"/>
    <x v="70"/>
    <x v="7"/>
    <x v="227"/>
    <x v="2"/>
    <x v="92"/>
    <x v="94"/>
    <x v="4"/>
    <x v="1"/>
    <x v="1"/>
  </r>
  <r>
    <x v="71"/>
    <x v="71"/>
    <x v="7"/>
    <x v="228"/>
    <x v="0"/>
    <x v="94"/>
    <x v="96"/>
    <x v="13"/>
    <x v="1"/>
    <x v="1"/>
  </r>
  <r>
    <x v="71"/>
    <x v="71"/>
    <x v="7"/>
    <x v="229"/>
    <x v="1"/>
    <x v="95"/>
    <x v="3"/>
    <x v="0"/>
    <x v="1"/>
    <x v="1"/>
  </r>
  <r>
    <x v="71"/>
    <x v="71"/>
    <x v="7"/>
    <x v="230"/>
    <x v="1"/>
    <x v="16"/>
    <x v="2"/>
    <x v="0"/>
    <x v="1"/>
    <x v="1"/>
  </r>
  <r>
    <x v="71"/>
    <x v="71"/>
    <x v="7"/>
    <x v="231"/>
    <x v="1"/>
    <x v="94"/>
    <x v="96"/>
    <x v="13"/>
    <x v="1"/>
    <x v="1"/>
  </r>
  <r>
    <x v="71"/>
    <x v="71"/>
    <x v="7"/>
    <x v="232"/>
    <x v="1"/>
    <x v="94"/>
    <x v="96"/>
    <x v="13"/>
    <x v="1"/>
    <x v="1"/>
  </r>
  <r>
    <x v="71"/>
    <x v="71"/>
    <x v="7"/>
    <x v="9"/>
    <x v="1"/>
    <x v="16"/>
    <x v="2"/>
    <x v="0"/>
    <x v="1"/>
    <x v="1"/>
  </r>
  <r>
    <x v="71"/>
    <x v="71"/>
    <x v="7"/>
    <x v="233"/>
    <x v="2"/>
    <x v="16"/>
    <x v="2"/>
    <x v="0"/>
    <x v="1"/>
    <x v="1"/>
  </r>
  <r>
    <x v="72"/>
    <x v="72"/>
    <x v="6"/>
    <x v="234"/>
    <x v="0"/>
    <x v="96"/>
    <x v="97"/>
    <x v="3"/>
    <x v="3"/>
    <x v="3"/>
  </r>
  <r>
    <x v="72"/>
    <x v="72"/>
    <x v="6"/>
    <x v="235"/>
    <x v="1"/>
    <x v="97"/>
    <x v="98"/>
    <x v="3"/>
    <x v="3"/>
    <x v="3"/>
  </r>
  <r>
    <x v="72"/>
    <x v="72"/>
    <x v="6"/>
    <x v="236"/>
    <x v="1"/>
    <x v="98"/>
    <x v="99"/>
    <x v="4"/>
    <x v="3"/>
    <x v="3"/>
  </r>
  <r>
    <x v="72"/>
    <x v="72"/>
    <x v="6"/>
    <x v="51"/>
    <x v="2"/>
    <x v="99"/>
    <x v="100"/>
    <x v="3"/>
    <x v="3"/>
    <x v="3"/>
  </r>
  <r>
    <x v="73"/>
    <x v="73"/>
    <x v="8"/>
    <x v="237"/>
    <x v="0"/>
    <x v="100"/>
    <x v="101"/>
    <x v="26"/>
    <x v="6"/>
    <x v="6"/>
  </r>
  <r>
    <x v="73"/>
    <x v="73"/>
    <x v="8"/>
    <x v="238"/>
    <x v="1"/>
    <x v="100"/>
    <x v="101"/>
    <x v="26"/>
    <x v="6"/>
    <x v="6"/>
  </r>
  <r>
    <x v="73"/>
    <x v="73"/>
    <x v="8"/>
    <x v="239"/>
    <x v="1"/>
    <x v="100"/>
    <x v="101"/>
    <x v="26"/>
    <x v="6"/>
    <x v="6"/>
  </r>
  <r>
    <x v="73"/>
    <x v="73"/>
    <x v="8"/>
    <x v="240"/>
    <x v="1"/>
    <x v="100"/>
    <x v="101"/>
    <x v="26"/>
    <x v="6"/>
    <x v="6"/>
  </r>
  <r>
    <x v="73"/>
    <x v="73"/>
    <x v="8"/>
    <x v="241"/>
    <x v="1"/>
    <x v="101"/>
    <x v="102"/>
    <x v="27"/>
    <x v="6"/>
    <x v="6"/>
  </r>
  <r>
    <x v="73"/>
    <x v="73"/>
    <x v="8"/>
    <x v="242"/>
    <x v="2"/>
    <x v="101"/>
    <x v="102"/>
    <x v="27"/>
    <x v="6"/>
    <x v="6"/>
  </r>
  <r>
    <x v="74"/>
    <x v="74"/>
    <x v="9"/>
    <x v="243"/>
    <x v="0"/>
    <x v="102"/>
    <x v="103"/>
    <x v="4"/>
    <x v="6"/>
    <x v="6"/>
  </r>
  <r>
    <x v="74"/>
    <x v="74"/>
    <x v="9"/>
    <x v="244"/>
    <x v="1"/>
    <x v="102"/>
    <x v="103"/>
    <x v="4"/>
    <x v="6"/>
    <x v="6"/>
  </r>
  <r>
    <x v="74"/>
    <x v="74"/>
    <x v="9"/>
    <x v="245"/>
    <x v="1"/>
    <x v="102"/>
    <x v="103"/>
    <x v="4"/>
    <x v="6"/>
    <x v="6"/>
  </r>
  <r>
    <x v="74"/>
    <x v="74"/>
    <x v="9"/>
    <x v="246"/>
    <x v="1"/>
    <x v="103"/>
    <x v="104"/>
    <x v="4"/>
    <x v="6"/>
    <x v="6"/>
  </r>
  <r>
    <x v="74"/>
    <x v="74"/>
    <x v="9"/>
    <x v="247"/>
    <x v="1"/>
    <x v="103"/>
    <x v="104"/>
    <x v="4"/>
    <x v="6"/>
    <x v="6"/>
  </r>
  <r>
    <x v="74"/>
    <x v="74"/>
    <x v="9"/>
    <x v="248"/>
    <x v="2"/>
    <x v="103"/>
    <x v="104"/>
    <x v="4"/>
    <x v="6"/>
    <x v="6"/>
  </r>
  <r>
    <x v="75"/>
    <x v="75"/>
    <x v="9"/>
    <x v="249"/>
    <x v="0"/>
    <x v="104"/>
    <x v="105"/>
    <x v="28"/>
    <x v="4"/>
    <x v="4"/>
  </r>
  <r>
    <x v="75"/>
    <x v="75"/>
    <x v="9"/>
    <x v="250"/>
    <x v="2"/>
    <x v="104"/>
    <x v="105"/>
    <x v="28"/>
    <x v="4"/>
    <x v="4"/>
  </r>
  <r>
    <x v="76"/>
    <x v="76"/>
    <x v="9"/>
    <x v="251"/>
    <x v="0"/>
    <x v="105"/>
    <x v="106"/>
    <x v="3"/>
    <x v="3"/>
    <x v="3"/>
  </r>
  <r>
    <x v="76"/>
    <x v="76"/>
    <x v="9"/>
    <x v="252"/>
    <x v="1"/>
    <x v="105"/>
    <x v="106"/>
    <x v="3"/>
    <x v="3"/>
    <x v="3"/>
  </r>
  <r>
    <x v="76"/>
    <x v="76"/>
    <x v="9"/>
    <x v="253"/>
    <x v="1"/>
    <x v="14"/>
    <x v="5"/>
    <x v="2"/>
    <x v="3"/>
    <x v="3"/>
  </r>
  <r>
    <x v="76"/>
    <x v="76"/>
    <x v="9"/>
    <x v="119"/>
    <x v="2"/>
    <x v="105"/>
    <x v="106"/>
    <x v="3"/>
    <x v="3"/>
    <x v="3"/>
  </r>
  <r>
    <x v="77"/>
    <x v="77"/>
    <x v="9"/>
    <x v="254"/>
    <x v="0"/>
    <x v="106"/>
    <x v="107"/>
    <x v="29"/>
    <x v="3"/>
    <x v="3"/>
  </r>
  <r>
    <x v="77"/>
    <x v="77"/>
    <x v="9"/>
    <x v="255"/>
    <x v="1"/>
    <x v="106"/>
    <x v="107"/>
    <x v="29"/>
    <x v="3"/>
    <x v="3"/>
  </r>
  <r>
    <x v="77"/>
    <x v="77"/>
    <x v="9"/>
    <x v="256"/>
    <x v="1"/>
    <x v="106"/>
    <x v="107"/>
    <x v="29"/>
    <x v="3"/>
    <x v="3"/>
  </r>
  <r>
    <x v="77"/>
    <x v="77"/>
    <x v="9"/>
    <x v="46"/>
    <x v="2"/>
    <x v="18"/>
    <x v="17"/>
    <x v="11"/>
    <x v="3"/>
    <x v="3"/>
  </r>
  <r>
    <x v="78"/>
    <x v="78"/>
    <x v="9"/>
    <x v="257"/>
    <x v="0"/>
    <x v="107"/>
    <x v="108"/>
    <x v="3"/>
    <x v="0"/>
    <x v="0"/>
  </r>
  <r>
    <x v="78"/>
    <x v="78"/>
    <x v="9"/>
    <x v="258"/>
    <x v="1"/>
    <x v="108"/>
    <x v="109"/>
    <x v="3"/>
    <x v="0"/>
    <x v="0"/>
  </r>
  <r>
    <x v="78"/>
    <x v="78"/>
    <x v="9"/>
    <x v="259"/>
    <x v="2"/>
    <x v="108"/>
    <x v="109"/>
    <x v="3"/>
    <x v="0"/>
    <x v="0"/>
  </r>
  <r>
    <x v="79"/>
    <x v="79"/>
    <x v="9"/>
    <x v="260"/>
    <x v="0"/>
    <x v="109"/>
    <x v="110"/>
    <x v="30"/>
    <x v="3"/>
    <x v="3"/>
  </r>
  <r>
    <x v="79"/>
    <x v="79"/>
    <x v="9"/>
    <x v="261"/>
    <x v="1"/>
    <x v="109"/>
    <x v="110"/>
    <x v="30"/>
    <x v="3"/>
    <x v="3"/>
  </r>
  <r>
    <x v="79"/>
    <x v="79"/>
    <x v="9"/>
    <x v="262"/>
    <x v="1"/>
    <x v="110"/>
    <x v="111"/>
    <x v="10"/>
    <x v="3"/>
    <x v="3"/>
  </r>
  <r>
    <x v="79"/>
    <x v="79"/>
    <x v="9"/>
    <x v="263"/>
    <x v="2"/>
    <x v="111"/>
    <x v="112"/>
    <x v="30"/>
    <x v="3"/>
    <x v="3"/>
  </r>
  <r>
    <x v="80"/>
    <x v="80"/>
    <x v="9"/>
    <x v="264"/>
    <x v="0"/>
    <x v="112"/>
    <x v="113"/>
    <x v="31"/>
    <x v="4"/>
    <x v="4"/>
  </r>
  <r>
    <x v="80"/>
    <x v="80"/>
    <x v="9"/>
    <x v="265"/>
    <x v="2"/>
    <x v="112"/>
    <x v="113"/>
    <x v="31"/>
    <x v="4"/>
    <x v="4"/>
  </r>
  <r>
    <x v="81"/>
    <x v="81"/>
    <x v="9"/>
    <x v="266"/>
    <x v="0"/>
    <x v="113"/>
    <x v="114"/>
    <x v="19"/>
    <x v="0"/>
    <x v="0"/>
  </r>
  <r>
    <x v="81"/>
    <x v="81"/>
    <x v="9"/>
    <x v="267"/>
    <x v="1"/>
    <x v="113"/>
    <x v="114"/>
    <x v="19"/>
    <x v="0"/>
    <x v="0"/>
  </r>
  <r>
    <x v="81"/>
    <x v="81"/>
    <x v="9"/>
    <x v="268"/>
    <x v="2"/>
    <x v="113"/>
    <x v="114"/>
    <x v="19"/>
    <x v="0"/>
    <x v="0"/>
  </r>
  <r>
    <x v="82"/>
    <x v="82"/>
    <x v="9"/>
    <x v="269"/>
    <x v="0"/>
    <x v="114"/>
    <x v="115"/>
    <x v="5"/>
    <x v="4"/>
    <x v="4"/>
  </r>
  <r>
    <x v="82"/>
    <x v="82"/>
    <x v="9"/>
    <x v="270"/>
    <x v="2"/>
    <x v="114"/>
    <x v="115"/>
    <x v="5"/>
    <x v="4"/>
    <x v="4"/>
  </r>
  <r>
    <x v="83"/>
    <x v="83"/>
    <x v="7"/>
    <x v="95"/>
    <x v="0"/>
    <x v="115"/>
    <x v="116"/>
    <x v="10"/>
    <x v="4"/>
    <x v="4"/>
  </r>
  <r>
    <x v="83"/>
    <x v="83"/>
    <x v="7"/>
    <x v="96"/>
    <x v="2"/>
    <x v="35"/>
    <x v="34"/>
    <x v="9"/>
    <x v="4"/>
    <x v="4"/>
  </r>
  <r>
    <x v="84"/>
    <x v="84"/>
    <x v="8"/>
    <x v="271"/>
    <x v="0"/>
    <x v="116"/>
    <x v="117"/>
    <x v="32"/>
    <x v="0"/>
    <x v="0"/>
  </r>
  <r>
    <x v="84"/>
    <x v="84"/>
    <x v="8"/>
    <x v="272"/>
    <x v="1"/>
    <x v="117"/>
    <x v="118"/>
    <x v="4"/>
    <x v="0"/>
    <x v="0"/>
  </r>
  <r>
    <x v="84"/>
    <x v="84"/>
    <x v="8"/>
    <x v="273"/>
    <x v="2"/>
    <x v="116"/>
    <x v="117"/>
    <x v="32"/>
    <x v="0"/>
    <x v="0"/>
  </r>
  <r>
    <x v="85"/>
    <x v="85"/>
    <x v="9"/>
    <x v="192"/>
    <x v="0"/>
    <x v="77"/>
    <x v="79"/>
    <x v="9"/>
    <x v="0"/>
    <x v="0"/>
  </r>
  <r>
    <x v="85"/>
    <x v="85"/>
    <x v="9"/>
    <x v="191"/>
    <x v="1"/>
    <x v="77"/>
    <x v="79"/>
    <x v="9"/>
    <x v="0"/>
    <x v="0"/>
  </r>
  <r>
    <x v="85"/>
    <x v="85"/>
    <x v="9"/>
    <x v="193"/>
    <x v="2"/>
    <x v="77"/>
    <x v="79"/>
    <x v="9"/>
    <x v="0"/>
    <x v="0"/>
  </r>
  <r>
    <x v="86"/>
    <x v="86"/>
    <x v="10"/>
    <x v="274"/>
    <x v="0"/>
    <x v="77"/>
    <x v="79"/>
    <x v="9"/>
    <x v="0"/>
    <x v="0"/>
  </r>
  <r>
    <x v="86"/>
    <x v="86"/>
    <x v="10"/>
    <x v="275"/>
    <x v="1"/>
    <x v="4"/>
    <x v="4"/>
    <x v="1"/>
    <x v="0"/>
    <x v="0"/>
  </r>
  <r>
    <x v="86"/>
    <x v="86"/>
    <x v="10"/>
    <x v="8"/>
    <x v="2"/>
    <x v="4"/>
    <x v="4"/>
    <x v="1"/>
    <x v="0"/>
    <x v="0"/>
  </r>
  <r>
    <x v="87"/>
    <x v="87"/>
    <x v="11"/>
    <x v="276"/>
    <x v="0"/>
    <x v="14"/>
    <x v="5"/>
    <x v="2"/>
    <x v="0"/>
    <x v="0"/>
  </r>
  <r>
    <x v="87"/>
    <x v="87"/>
    <x v="11"/>
    <x v="14"/>
    <x v="1"/>
    <x v="14"/>
    <x v="5"/>
    <x v="2"/>
    <x v="0"/>
    <x v="0"/>
  </r>
  <r>
    <x v="87"/>
    <x v="87"/>
    <x v="11"/>
    <x v="277"/>
    <x v="2"/>
    <x v="14"/>
    <x v="5"/>
    <x v="2"/>
    <x v="0"/>
    <x v="0"/>
  </r>
  <r>
    <x v="88"/>
    <x v="88"/>
    <x v="10"/>
    <x v="278"/>
    <x v="0"/>
    <x v="118"/>
    <x v="119"/>
    <x v="9"/>
    <x v="2"/>
    <x v="2"/>
  </r>
  <r>
    <x v="89"/>
    <x v="89"/>
    <x v="11"/>
    <x v="279"/>
    <x v="0"/>
    <x v="119"/>
    <x v="120"/>
    <x v="33"/>
    <x v="6"/>
    <x v="6"/>
  </r>
  <r>
    <x v="89"/>
    <x v="89"/>
    <x v="11"/>
    <x v="280"/>
    <x v="1"/>
    <x v="119"/>
    <x v="120"/>
    <x v="33"/>
    <x v="6"/>
    <x v="6"/>
  </r>
  <r>
    <x v="89"/>
    <x v="89"/>
    <x v="11"/>
    <x v="281"/>
    <x v="1"/>
    <x v="120"/>
    <x v="121"/>
    <x v="34"/>
    <x v="6"/>
    <x v="6"/>
  </r>
  <r>
    <x v="89"/>
    <x v="89"/>
    <x v="11"/>
    <x v="282"/>
    <x v="1"/>
    <x v="119"/>
    <x v="120"/>
    <x v="33"/>
    <x v="6"/>
    <x v="6"/>
  </r>
  <r>
    <x v="89"/>
    <x v="89"/>
    <x v="11"/>
    <x v="283"/>
    <x v="1"/>
    <x v="120"/>
    <x v="121"/>
    <x v="34"/>
    <x v="6"/>
    <x v="6"/>
  </r>
  <r>
    <x v="89"/>
    <x v="89"/>
    <x v="11"/>
    <x v="284"/>
    <x v="2"/>
    <x v="121"/>
    <x v="122"/>
    <x v="33"/>
    <x v="6"/>
    <x v="6"/>
  </r>
  <r>
    <x v="90"/>
    <x v="90"/>
    <x v="11"/>
    <x v="285"/>
    <x v="0"/>
    <x v="16"/>
    <x v="123"/>
    <x v="35"/>
    <x v="6"/>
    <x v="6"/>
  </r>
  <r>
    <x v="90"/>
    <x v="90"/>
    <x v="11"/>
    <x v="286"/>
    <x v="1"/>
    <x v="16"/>
    <x v="123"/>
    <x v="35"/>
    <x v="6"/>
    <x v="6"/>
  </r>
  <r>
    <x v="90"/>
    <x v="90"/>
    <x v="11"/>
    <x v="287"/>
    <x v="1"/>
    <x v="16"/>
    <x v="123"/>
    <x v="35"/>
    <x v="6"/>
    <x v="6"/>
  </r>
  <r>
    <x v="90"/>
    <x v="90"/>
    <x v="11"/>
    <x v="288"/>
    <x v="1"/>
    <x v="16"/>
    <x v="123"/>
    <x v="35"/>
    <x v="6"/>
    <x v="6"/>
  </r>
  <r>
    <x v="90"/>
    <x v="90"/>
    <x v="11"/>
    <x v="289"/>
    <x v="1"/>
    <x v="16"/>
    <x v="123"/>
    <x v="35"/>
    <x v="6"/>
    <x v="6"/>
  </r>
  <r>
    <x v="90"/>
    <x v="90"/>
    <x v="11"/>
    <x v="290"/>
    <x v="2"/>
    <x v="122"/>
    <x v="124"/>
    <x v="4"/>
    <x v="6"/>
    <x v="6"/>
  </r>
  <r>
    <x v="91"/>
    <x v="91"/>
    <x v="11"/>
    <x v="291"/>
    <x v="0"/>
    <x v="123"/>
    <x v="125"/>
    <x v="0"/>
    <x v="5"/>
    <x v="5"/>
  </r>
  <r>
    <x v="91"/>
    <x v="91"/>
    <x v="11"/>
    <x v="292"/>
    <x v="1"/>
    <x v="124"/>
    <x v="126"/>
    <x v="0"/>
    <x v="5"/>
    <x v="5"/>
  </r>
  <r>
    <x v="91"/>
    <x v="91"/>
    <x v="11"/>
    <x v="293"/>
    <x v="1"/>
    <x v="125"/>
    <x v="127"/>
    <x v="0"/>
    <x v="5"/>
    <x v="5"/>
  </r>
  <r>
    <x v="91"/>
    <x v="91"/>
    <x v="11"/>
    <x v="294"/>
    <x v="1"/>
    <x v="125"/>
    <x v="127"/>
    <x v="0"/>
    <x v="5"/>
    <x v="5"/>
  </r>
  <r>
    <x v="91"/>
    <x v="91"/>
    <x v="11"/>
    <x v="295"/>
    <x v="2"/>
    <x v="123"/>
    <x v="125"/>
    <x v="0"/>
    <x v="5"/>
    <x v="5"/>
  </r>
  <r>
    <x v="92"/>
    <x v="92"/>
    <x v="12"/>
    <x v="296"/>
    <x v="0"/>
    <x v="126"/>
    <x v="128"/>
    <x v="10"/>
    <x v="3"/>
    <x v="3"/>
  </r>
  <r>
    <x v="92"/>
    <x v="92"/>
    <x v="12"/>
    <x v="297"/>
    <x v="1"/>
    <x v="126"/>
    <x v="128"/>
    <x v="10"/>
    <x v="3"/>
    <x v="3"/>
  </r>
  <r>
    <x v="92"/>
    <x v="92"/>
    <x v="12"/>
    <x v="260"/>
    <x v="1"/>
    <x v="63"/>
    <x v="64"/>
    <x v="10"/>
    <x v="3"/>
    <x v="3"/>
  </r>
  <r>
    <x v="92"/>
    <x v="92"/>
    <x v="12"/>
    <x v="298"/>
    <x v="2"/>
    <x v="63"/>
    <x v="64"/>
    <x v="10"/>
    <x v="3"/>
    <x v="3"/>
  </r>
  <r>
    <x v="93"/>
    <x v="93"/>
    <x v="12"/>
    <x v="299"/>
    <x v="0"/>
    <x v="87"/>
    <x v="89"/>
    <x v="4"/>
    <x v="5"/>
    <x v="5"/>
  </r>
  <r>
    <x v="93"/>
    <x v="93"/>
    <x v="12"/>
    <x v="300"/>
    <x v="1"/>
    <x v="87"/>
    <x v="89"/>
    <x v="4"/>
    <x v="5"/>
    <x v="5"/>
  </r>
  <r>
    <x v="93"/>
    <x v="93"/>
    <x v="12"/>
    <x v="301"/>
    <x v="1"/>
    <x v="87"/>
    <x v="89"/>
    <x v="4"/>
    <x v="5"/>
    <x v="5"/>
  </r>
  <r>
    <x v="93"/>
    <x v="93"/>
    <x v="12"/>
    <x v="213"/>
    <x v="1"/>
    <x v="127"/>
    <x v="129"/>
    <x v="4"/>
    <x v="5"/>
    <x v="5"/>
  </r>
  <r>
    <x v="93"/>
    <x v="93"/>
    <x v="12"/>
    <x v="212"/>
    <x v="2"/>
    <x v="87"/>
    <x v="89"/>
    <x v="4"/>
    <x v="5"/>
    <x v="5"/>
  </r>
  <r>
    <x v="94"/>
    <x v="94"/>
    <x v="11"/>
    <x v="302"/>
    <x v="0"/>
    <x v="128"/>
    <x v="130"/>
    <x v="0"/>
    <x v="1"/>
    <x v="1"/>
  </r>
  <r>
    <x v="94"/>
    <x v="94"/>
    <x v="11"/>
    <x v="303"/>
    <x v="1"/>
    <x v="129"/>
    <x v="131"/>
    <x v="1"/>
    <x v="1"/>
    <x v="1"/>
  </r>
  <r>
    <x v="94"/>
    <x v="94"/>
    <x v="11"/>
    <x v="304"/>
    <x v="1"/>
    <x v="129"/>
    <x v="131"/>
    <x v="1"/>
    <x v="1"/>
    <x v="1"/>
  </r>
  <r>
    <x v="94"/>
    <x v="94"/>
    <x v="11"/>
    <x v="305"/>
    <x v="1"/>
    <x v="128"/>
    <x v="130"/>
    <x v="0"/>
    <x v="1"/>
    <x v="1"/>
  </r>
  <r>
    <x v="94"/>
    <x v="94"/>
    <x v="11"/>
    <x v="306"/>
    <x v="1"/>
    <x v="130"/>
    <x v="132"/>
    <x v="4"/>
    <x v="1"/>
    <x v="1"/>
  </r>
  <r>
    <x v="94"/>
    <x v="94"/>
    <x v="11"/>
    <x v="307"/>
    <x v="1"/>
    <x v="128"/>
    <x v="130"/>
    <x v="0"/>
    <x v="1"/>
    <x v="1"/>
  </r>
  <r>
    <x v="94"/>
    <x v="94"/>
    <x v="11"/>
    <x v="308"/>
    <x v="2"/>
    <x v="131"/>
    <x v="133"/>
    <x v="4"/>
    <x v="1"/>
    <x v="1"/>
  </r>
  <r>
    <x v="95"/>
    <x v="95"/>
    <x v="12"/>
    <x v="309"/>
    <x v="0"/>
    <x v="132"/>
    <x v="134"/>
    <x v="10"/>
    <x v="0"/>
    <x v="0"/>
  </r>
  <r>
    <x v="95"/>
    <x v="95"/>
    <x v="12"/>
    <x v="310"/>
    <x v="1"/>
    <x v="132"/>
    <x v="134"/>
    <x v="10"/>
    <x v="0"/>
    <x v="0"/>
  </r>
  <r>
    <x v="95"/>
    <x v="95"/>
    <x v="12"/>
    <x v="311"/>
    <x v="2"/>
    <x v="132"/>
    <x v="134"/>
    <x v="10"/>
    <x v="0"/>
    <x v="0"/>
  </r>
  <r>
    <x v="96"/>
    <x v="96"/>
    <x v="13"/>
    <x v="271"/>
    <x v="0"/>
    <x v="133"/>
    <x v="135"/>
    <x v="36"/>
    <x v="4"/>
    <x v="4"/>
  </r>
  <r>
    <x v="96"/>
    <x v="96"/>
    <x v="13"/>
    <x v="273"/>
    <x v="2"/>
    <x v="116"/>
    <x v="136"/>
    <x v="32"/>
    <x v="4"/>
    <x v="4"/>
  </r>
  <r>
    <x v="97"/>
    <x v="97"/>
    <x v="14"/>
    <x v="260"/>
    <x v="0"/>
    <x v="63"/>
    <x v="64"/>
    <x v="10"/>
    <x v="0"/>
    <x v="0"/>
  </r>
  <r>
    <x v="97"/>
    <x v="97"/>
    <x v="14"/>
    <x v="312"/>
    <x v="1"/>
    <x v="134"/>
    <x v="137"/>
    <x v="10"/>
    <x v="0"/>
    <x v="0"/>
  </r>
  <r>
    <x v="97"/>
    <x v="97"/>
    <x v="14"/>
    <x v="313"/>
    <x v="2"/>
    <x v="134"/>
    <x v="137"/>
    <x v="10"/>
    <x v="0"/>
    <x v="0"/>
  </r>
  <r>
    <x v="98"/>
    <x v="98"/>
    <x v="13"/>
    <x v="314"/>
    <x v="0"/>
    <x v="135"/>
    <x v="138"/>
    <x v="10"/>
    <x v="6"/>
    <x v="6"/>
  </r>
  <r>
    <x v="98"/>
    <x v="98"/>
    <x v="13"/>
    <x v="315"/>
    <x v="1"/>
    <x v="135"/>
    <x v="138"/>
    <x v="10"/>
    <x v="6"/>
    <x v="6"/>
  </r>
  <r>
    <x v="98"/>
    <x v="98"/>
    <x v="13"/>
    <x v="316"/>
    <x v="1"/>
    <x v="135"/>
    <x v="138"/>
    <x v="10"/>
    <x v="6"/>
    <x v="6"/>
  </r>
  <r>
    <x v="98"/>
    <x v="98"/>
    <x v="13"/>
    <x v="317"/>
    <x v="1"/>
    <x v="135"/>
    <x v="138"/>
    <x v="10"/>
    <x v="6"/>
    <x v="6"/>
  </r>
  <r>
    <x v="98"/>
    <x v="98"/>
    <x v="13"/>
    <x v="318"/>
    <x v="1"/>
    <x v="135"/>
    <x v="138"/>
    <x v="10"/>
    <x v="6"/>
    <x v="6"/>
  </r>
  <r>
    <x v="98"/>
    <x v="98"/>
    <x v="13"/>
    <x v="319"/>
    <x v="2"/>
    <x v="135"/>
    <x v="138"/>
    <x v="10"/>
    <x v="6"/>
    <x v="6"/>
  </r>
  <r>
    <x v="99"/>
    <x v="99"/>
    <x v="14"/>
    <x v="320"/>
    <x v="0"/>
    <x v="16"/>
    <x v="139"/>
    <x v="0"/>
    <x v="3"/>
    <x v="3"/>
  </r>
  <r>
    <x v="99"/>
    <x v="99"/>
    <x v="14"/>
    <x v="321"/>
    <x v="1"/>
    <x v="16"/>
    <x v="139"/>
    <x v="0"/>
    <x v="3"/>
    <x v="3"/>
  </r>
  <r>
    <x v="99"/>
    <x v="99"/>
    <x v="14"/>
    <x v="322"/>
    <x v="1"/>
    <x v="16"/>
    <x v="139"/>
    <x v="0"/>
    <x v="3"/>
    <x v="3"/>
  </r>
  <r>
    <x v="99"/>
    <x v="99"/>
    <x v="14"/>
    <x v="323"/>
    <x v="2"/>
    <x v="16"/>
    <x v="35"/>
    <x v="0"/>
    <x v="3"/>
    <x v="3"/>
  </r>
  <r>
    <x v="100"/>
    <x v="100"/>
    <x v="14"/>
    <x v="324"/>
    <x v="0"/>
    <x v="136"/>
    <x v="140"/>
    <x v="4"/>
    <x v="3"/>
    <x v="3"/>
  </r>
  <r>
    <x v="100"/>
    <x v="100"/>
    <x v="14"/>
    <x v="325"/>
    <x v="1"/>
    <x v="136"/>
    <x v="140"/>
    <x v="4"/>
    <x v="3"/>
    <x v="3"/>
  </r>
  <r>
    <x v="100"/>
    <x v="100"/>
    <x v="14"/>
    <x v="326"/>
    <x v="1"/>
    <x v="136"/>
    <x v="140"/>
    <x v="4"/>
    <x v="3"/>
    <x v="3"/>
  </r>
  <r>
    <x v="100"/>
    <x v="100"/>
    <x v="14"/>
    <x v="327"/>
    <x v="2"/>
    <x v="136"/>
    <x v="140"/>
    <x v="4"/>
    <x v="3"/>
    <x v="3"/>
  </r>
  <r>
    <x v="101"/>
    <x v="101"/>
    <x v="14"/>
    <x v="328"/>
    <x v="0"/>
    <x v="132"/>
    <x v="134"/>
    <x v="10"/>
    <x v="0"/>
    <x v="0"/>
  </r>
  <r>
    <x v="101"/>
    <x v="101"/>
    <x v="14"/>
    <x v="329"/>
    <x v="1"/>
    <x v="132"/>
    <x v="134"/>
    <x v="10"/>
    <x v="0"/>
    <x v="0"/>
  </r>
  <r>
    <x v="101"/>
    <x v="101"/>
    <x v="14"/>
    <x v="330"/>
    <x v="2"/>
    <x v="132"/>
    <x v="134"/>
    <x v="10"/>
    <x v="0"/>
    <x v="0"/>
  </r>
  <r>
    <x v="102"/>
    <x v="102"/>
    <x v="14"/>
    <x v="331"/>
    <x v="0"/>
    <x v="16"/>
    <x v="141"/>
    <x v="10"/>
    <x v="1"/>
    <x v="1"/>
  </r>
  <r>
    <x v="102"/>
    <x v="102"/>
    <x v="14"/>
    <x v="332"/>
    <x v="1"/>
    <x v="16"/>
    <x v="141"/>
    <x v="10"/>
    <x v="1"/>
    <x v="1"/>
  </r>
  <r>
    <x v="102"/>
    <x v="102"/>
    <x v="14"/>
    <x v="333"/>
    <x v="1"/>
    <x v="16"/>
    <x v="141"/>
    <x v="10"/>
    <x v="1"/>
    <x v="1"/>
  </r>
  <r>
    <x v="102"/>
    <x v="102"/>
    <x v="14"/>
    <x v="334"/>
    <x v="1"/>
    <x v="16"/>
    <x v="141"/>
    <x v="10"/>
    <x v="1"/>
    <x v="1"/>
  </r>
  <r>
    <x v="102"/>
    <x v="102"/>
    <x v="14"/>
    <x v="335"/>
    <x v="1"/>
    <x v="16"/>
    <x v="141"/>
    <x v="10"/>
    <x v="1"/>
    <x v="1"/>
  </r>
  <r>
    <x v="102"/>
    <x v="102"/>
    <x v="14"/>
    <x v="336"/>
    <x v="1"/>
    <x v="16"/>
    <x v="141"/>
    <x v="10"/>
    <x v="1"/>
    <x v="1"/>
  </r>
  <r>
    <x v="102"/>
    <x v="102"/>
    <x v="14"/>
    <x v="337"/>
    <x v="2"/>
    <x v="16"/>
    <x v="141"/>
    <x v="10"/>
    <x v="1"/>
    <x v="1"/>
  </r>
  <r>
    <x v="103"/>
    <x v="103"/>
    <x v="14"/>
    <x v="338"/>
    <x v="0"/>
    <x v="16"/>
    <x v="142"/>
    <x v="10"/>
    <x v="5"/>
    <x v="5"/>
  </r>
  <r>
    <x v="103"/>
    <x v="103"/>
    <x v="14"/>
    <x v="339"/>
    <x v="1"/>
    <x v="16"/>
    <x v="142"/>
    <x v="10"/>
    <x v="5"/>
    <x v="5"/>
  </r>
  <r>
    <x v="103"/>
    <x v="103"/>
    <x v="14"/>
    <x v="340"/>
    <x v="1"/>
    <x v="16"/>
    <x v="142"/>
    <x v="10"/>
    <x v="5"/>
    <x v="5"/>
  </r>
  <r>
    <x v="103"/>
    <x v="103"/>
    <x v="14"/>
    <x v="341"/>
    <x v="1"/>
    <x v="16"/>
    <x v="142"/>
    <x v="10"/>
    <x v="5"/>
    <x v="5"/>
  </r>
  <r>
    <x v="103"/>
    <x v="103"/>
    <x v="14"/>
    <x v="342"/>
    <x v="2"/>
    <x v="16"/>
    <x v="142"/>
    <x v="10"/>
    <x v="5"/>
    <x v="5"/>
  </r>
  <r>
    <x v="104"/>
    <x v="104"/>
    <x v="14"/>
    <x v="343"/>
    <x v="0"/>
    <x v="137"/>
    <x v="143"/>
    <x v="1"/>
    <x v="2"/>
    <x v="2"/>
  </r>
  <r>
    <x v="105"/>
    <x v="105"/>
    <x v="13"/>
    <x v="344"/>
    <x v="0"/>
    <x v="138"/>
    <x v="144"/>
    <x v="0"/>
    <x v="3"/>
    <x v="3"/>
  </r>
  <r>
    <x v="105"/>
    <x v="105"/>
    <x v="13"/>
    <x v="345"/>
    <x v="1"/>
    <x v="138"/>
    <x v="144"/>
    <x v="0"/>
    <x v="3"/>
    <x v="3"/>
  </r>
  <r>
    <x v="105"/>
    <x v="105"/>
    <x v="13"/>
    <x v="346"/>
    <x v="1"/>
    <x v="139"/>
    <x v="145"/>
    <x v="15"/>
    <x v="3"/>
    <x v="3"/>
  </r>
  <r>
    <x v="105"/>
    <x v="105"/>
    <x v="13"/>
    <x v="347"/>
    <x v="2"/>
    <x v="140"/>
    <x v="146"/>
    <x v="0"/>
    <x v="3"/>
    <x v="3"/>
  </r>
  <r>
    <x v="106"/>
    <x v="106"/>
    <x v="14"/>
    <x v="348"/>
    <x v="0"/>
    <x v="63"/>
    <x v="64"/>
    <x v="10"/>
    <x v="5"/>
    <x v="5"/>
  </r>
  <r>
    <x v="106"/>
    <x v="106"/>
    <x v="14"/>
    <x v="349"/>
    <x v="1"/>
    <x v="63"/>
    <x v="64"/>
    <x v="10"/>
    <x v="5"/>
    <x v="5"/>
  </r>
  <r>
    <x v="106"/>
    <x v="106"/>
    <x v="14"/>
    <x v="350"/>
    <x v="1"/>
    <x v="15"/>
    <x v="14"/>
    <x v="10"/>
    <x v="5"/>
    <x v="5"/>
  </r>
  <r>
    <x v="106"/>
    <x v="106"/>
    <x v="14"/>
    <x v="351"/>
    <x v="1"/>
    <x v="63"/>
    <x v="64"/>
    <x v="10"/>
    <x v="5"/>
    <x v="5"/>
  </r>
  <r>
    <x v="106"/>
    <x v="106"/>
    <x v="14"/>
    <x v="260"/>
    <x v="2"/>
    <x v="63"/>
    <x v="64"/>
    <x v="10"/>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数据透视表1" cacheId="4"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9" firstHeaderRow="1" firstDataRow="1" firstDataCol="1"/>
  <pivotFields count="1">
    <pivotField axis="axisRow" dataField="1" compact="0" showAll="0">
      <items count="6">
        <item x="3"/>
        <item x="0"/>
        <item x="1"/>
        <item x="2"/>
        <item x="4"/>
        <item t="default"/>
      </items>
    </pivotField>
  </pivotFields>
  <rowFields count="1">
    <field x="0"/>
  </rowFields>
  <rowItems count="6">
    <i>
      <x/>
    </i>
    <i>
      <x v="1"/>
    </i>
    <i>
      <x v="2"/>
    </i>
    <i>
      <x v="3"/>
    </i>
    <i>
      <x v="4"/>
    </i>
    <i t="grand">
      <x/>
    </i>
  </rowItems>
  <colItems count="1">
    <i/>
  </colItems>
  <dataFields count="1">
    <dataField name="计数项:Item Type"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20" firstHeaderRow="1" firstDataRow="1" firstDataCol="1"/>
  <pivotFields count="3">
    <pivotField axis="axisRow" dataField="1" compact="0" showAll="0">
      <items count="17">
        <item x="0"/>
        <item x="1"/>
        <item x="2"/>
        <item x="3"/>
        <item x="4"/>
        <item x="5"/>
        <item x="6"/>
        <item x="7"/>
        <item x="13"/>
        <item x="8"/>
        <item x="9"/>
        <item x="10"/>
        <item x="14"/>
        <item x="11"/>
        <item x="12"/>
        <item x="15"/>
        <item t="default"/>
      </items>
    </pivotField>
    <pivotField compact="0" showAll="0"/>
    <pivotField compact="0" showAll="0">
      <items count="34">
        <item x="14"/>
        <item x="28"/>
        <item x="26"/>
        <item x="17"/>
        <item x="6"/>
        <item x="9"/>
        <item x="7"/>
        <item x="19"/>
        <item x="21"/>
        <item x="8"/>
        <item x="0"/>
        <item x="3"/>
        <item x="30"/>
        <item x="32"/>
        <item x="5"/>
        <item x="10"/>
        <item x="20"/>
        <item x="22"/>
        <item x="1"/>
        <item x="16"/>
        <item x="25"/>
        <item x="27"/>
        <item x="29"/>
        <item x="2"/>
        <item x="23"/>
        <item x="24"/>
        <item x="18"/>
        <item x="31"/>
        <item x="4"/>
        <item x="12"/>
        <item x="11"/>
        <item x="13"/>
        <item x="15"/>
        <item t="default"/>
      </items>
    </pivotField>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计数项:Publication Year"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1" cacheId="3"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12" firstHeaderRow="1" firstDataRow="1" firstDataCol="1"/>
  <pivotFields count="1">
    <pivotField axis="axisRow" dataField="1" compact="0" showAll="0">
      <items count="9">
        <item x="2"/>
        <item x="0"/>
        <item x="3"/>
        <item x="6"/>
        <item x="5"/>
        <item x="1"/>
        <item x="4"/>
        <item x="7"/>
        <item t="default"/>
      </items>
    </pivotField>
  </pivotFields>
  <rowFields count="1">
    <field x="0"/>
  </rowFields>
  <rowItems count="9">
    <i>
      <x/>
    </i>
    <i>
      <x v="1"/>
    </i>
    <i>
      <x v="2"/>
    </i>
    <i>
      <x v="3"/>
    </i>
    <i>
      <x v="4"/>
    </i>
    <i>
      <x v="5"/>
    </i>
    <i>
      <x v="6"/>
    </i>
    <i>
      <x v="7"/>
    </i>
    <i t="grand">
      <x/>
    </i>
  </rowItems>
  <colItems count="1">
    <i/>
  </colItems>
  <dataFields count="1">
    <dataField name="计数项:Publisher"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1" cacheId="2"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88" firstHeaderRow="1" firstDataRow="1" firstDataCol="1"/>
  <pivotFields count="1">
    <pivotField axis="axisRow" dataField="1" compact="0" sortType="descending" showAll="0">
      <items count="85">
        <item x="63"/>
        <item x="43"/>
        <item x="77"/>
        <item x="1"/>
        <item x="5"/>
        <item x="4"/>
        <item x="0"/>
        <item x="6"/>
        <item x="10"/>
        <item x="15"/>
        <item x="14"/>
        <item x="24"/>
        <item x="20"/>
        <item x="22"/>
        <item x="21"/>
        <item x="29"/>
        <item x="26"/>
        <item x="30"/>
        <item x="33"/>
        <item x="35"/>
        <item x="32"/>
        <item x="45"/>
        <item x="46"/>
        <item x="54"/>
        <item x="50"/>
        <item x="57"/>
        <item x="55"/>
        <item x="59"/>
        <item x="66"/>
        <item x="65"/>
        <item x="64"/>
        <item x="72"/>
        <item x="73"/>
        <item x="74"/>
        <item x="81"/>
        <item x="60"/>
        <item x="75"/>
        <item x="40"/>
        <item x="76"/>
        <item x="38"/>
        <item x="36"/>
        <item x="56"/>
        <item x="39"/>
        <item x="51"/>
        <item x="41"/>
        <item x="53"/>
        <item x="62"/>
        <item x="49"/>
        <item x="28"/>
        <item x="80"/>
        <item x="18"/>
        <item x="78"/>
        <item x="48"/>
        <item x="44"/>
        <item x="8"/>
        <item x="17"/>
        <item x="31"/>
        <item x="11"/>
        <item x="79"/>
        <item x="25"/>
        <item x="13"/>
        <item x="9"/>
        <item x="61"/>
        <item x="37"/>
        <item x="52"/>
        <item x="2"/>
        <item x="12"/>
        <item x="70"/>
        <item x="42"/>
        <item x="27"/>
        <item x="82"/>
        <item x="58"/>
        <item x="68"/>
        <item x="19"/>
        <item x="47"/>
        <item x="3"/>
        <item x="34"/>
        <item x="67"/>
        <item x="23"/>
        <item x="71"/>
        <item x="69"/>
        <item x="7"/>
        <item x="16"/>
        <item x="83"/>
        <item t="default"/>
      </items>
      <autoSortScope>
        <pivotArea fieldPosition="0">
          <references count="1">
            <reference field="4294967294" count="1" selected="0">
              <x v="0"/>
            </reference>
          </references>
        </pivotArea>
      </autoSortScope>
    </pivotField>
  </pivotFields>
  <rowFields count="1">
    <field x="0"/>
  </rowFields>
  <rowItems count="85">
    <i>
      <x v="65"/>
    </i>
    <i>
      <x v="60"/>
    </i>
    <i>
      <x v="54"/>
    </i>
    <i>
      <x v="66"/>
    </i>
    <i>
      <x v="4"/>
    </i>
    <i>
      <x v="81"/>
    </i>
    <i>
      <x v="72"/>
    </i>
    <i>
      <x v="71"/>
    </i>
    <i>
      <x v="70"/>
    </i>
    <i>
      <x v="59"/>
    </i>
    <i>
      <x v="39"/>
    </i>
    <i>
      <x v="38"/>
    </i>
    <i>
      <x v="32"/>
    </i>
    <i>
      <x v="17"/>
    </i>
    <i>
      <x v="12"/>
    </i>
    <i>
      <x v="82"/>
    </i>
    <i>
      <x v="80"/>
    </i>
    <i>
      <x v="79"/>
    </i>
    <i>
      <x v="78"/>
    </i>
    <i>
      <x v="77"/>
    </i>
    <i>
      <x v="76"/>
    </i>
    <i>
      <x v="75"/>
    </i>
    <i>
      <x v="74"/>
    </i>
    <i>
      <x v="73"/>
    </i>
    <i>
      <x v="69"/>
    </i>
    <i>
      <x v="68"/>
    </i>
    <i>
      <x v="67"/>
    </i>
    <i>
      <x v="64"/>
    </i>
    <i>
      <x v="63"/>
    </i>
    <i>
      <x v="62"/>
    </i>
    <i>
      <x v="61"/>
    </i>
    <i>
      <x v="58"/>
    </i>
    <i>
      <x v="57"/>
    </i>
    <i>
      <x v="56"/>
    </i>
    <i>
      <x v="55"/>
    </i>
    <i>
      <x v="53"/>
    </i>
    <i>
      <x v="52"/>
    </i>
    <i>
      <x v="51"/>
    </i>
    <i>
      <x v="50"/>
    </i>
    <i>
      <x v="49"/>
    </i>
    <i>
      <x v="48"/>
    </i>
    <i>
      <x v="47"/>
    </i>
    <i>
      <x v="46"/>
    </i>
    <i>
      <x v="45"/>
    </i>
    <i>
      <x v="44"/>
    </i>
    <i>
      <x v="43"/>
    </i>
    <i>
      <x v="42"/>
    </i>
    <i>
      <x v="41"/>
    </i>
    <i>
      <x v="40"/>
    </i>
    <i>
      <x v="37"/>
    </i>
    <i>
      <x v="36"/>
    </i>
    <i>
      <x v="35"/>
    </i>
    <i>
      <x v="34"/>
    </i>
    <i>
      <x v="33"/>
    </i>
    <i>
      <x v="31"/>
    </i>
    <i>
      <x v="30"/>
    </i>
    <i>
      <x v="29"/>
    </i>
    <i>
      <x v="28"/>
    </i>
    <i>
      <x v="27"/>
    </i>
    <i>
      <x v="26"/>
    </i>
    <i>
      <x v="25"/>
    </i>
    <i>
      <x v="24"/>
    </i>
    <i>
      <x v="23"/>
    </i>
    <i>
      <x v="22"/>
    </i>
    <i>
      <x v="21"/>
    </i>
    <i>
      <x v="20"/>
    </i>
    <i>
      <x v="19"/>
    </i>
    <i>
      <x v="18"/>
    </i>
    <i>
      <x v="16"/>
    </i>
    <i>
      <x v="15"/>
    </i>
    <i>
      <x v="14"/>
    </i>
    <i>
      <x v="13"/>
    </i>
    <i>
      <x v="11"/>
    </i>
    <i>
      <x v="10"/>
    </i>
    <i>
      <x v="9"/>
    </i>
    <i>
      <x v="8"/>
    </i>
    <i>
      <x v="7"/>
    </i>
    <i>
      <x v="6"/>
    </i>
    <i>
      <x v="5"/>
    </i>
    <i>
      <x v="3"/>
    </i>
    <i>
      <x v="2"/>
    </i>
    <i>
      <x v="1"/>
    </i>
    <i>
      <x/>
    </i>
    <i>
      <x v="83"/>
    </i>
    <i t="grand">
      <x/>
    </i>
  </rowItems>
  <colItems count="1">
    <i/>
  </colItems>
  <dataFields count="1">
    <dataField name="计数项:Publication Title"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数据透视表9"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43" firstHeaderRow="1" firstDataRow="1" firstDataCol="1"/>
  <pivotFields count="1">
    <pivotField axis="axisRow" dataField="1" compact="0" showAll="0">
      <items count="43">
        <item x="23"/>
        <item m="1" x="40"/>
        <item x="10"/>
        <item x="13"/>
        <item x="7"/>
        <item x="29"/>
        <item x="18"/>
        <item x="12"/>
        <item x="20"/>
        <item x="2"/>
        <item x="30"/>
        <item m="1" x="39"/>
        <item x="16"/>
        <item x="27"/>
        <item x="32"/>
        <item x="6"/>
        <item x="9"/>
        <item x="1"/>
        <item x="4"/>
        <item x="5"/>
        <item x="26"/>
        <item x="3"/>
        <item x="17"/>
        <item x="33"/>
        <item x="31"/>
        <item x="37"/>
        <item x="24"/>
        <item x="21"/>
        <item x="19"/>
        <item x="0"/>
        <item x="28"/>
        <item x="22"/>
        <item x="8"/>
        <item x="36"/>
        <item m="1" x="41"/>
        <item x="11"/>
        <item x="14"/>
        <item x="35"/>
        <item x="34"/>
        <item x="25"/>
        <item x="15"/>
        <item x="38"/>
        <item t="default"/>
      </items>
    </pivotField>
  </pivotFields>
  <rowFields count="1">
    <field x="0"/>
  </rowFields>
  <rowItems count="40">
    <i>
      <x/>
    </i>
    <i>
      <x v="2"/>
    </i>
    <i>
      <x v="3"/>
    </i>
    <i>
      <x v="4"/>
    </i>
    <i>
      <x v="5"/>
    </i>
    <i>
      <x v="6"/>
    </i>
    <i>
      <x v="7"/>
    </i>
    <i>
      <x v="8"/>
    </i>
    <i>
      <x v="9"/>
    </i>
    <i>
      <x v="10"/>
    </i>
    <i>
      <x v="12"/>
    </i>
    <i>
      <x v="13"/>
    </i>
    <i>
      <x v="14"/>
    </i>
    <i>
      <x v="15"/>
    </i>
    <i>
      <x v="16"/>
    </i>
    <i>
      <x v="17"/>
    </i>
    <i>
      <x v="18"/>
    </i>
    <i>
      <x v="19"/>
    </i>
    <i>
      <x v="20"/>
    </i>
    <i>
      <x v="21"/>
    </i>
    <i>
      <x v="22"/>
    </i>
    <i>
      <x v="23"/>
    </i>
    <i>
      <x v="24"/>
    </i>
    <i>
      <x v="25"/>
    </i>
    <i>
      <x v="26"/>
    </i>
    <i>
      <x v="27"/>
    </i>
    <i>
      <x v="28"/>
    </i>
    <i>
      <x v="29"/>
    </i>
    <i>
      <x v="30"/>
    </i>
    <i>
      <x v="31"/>
    </i>
    <i>
      <x v="32"/>
    </i>
    <i>
      <x v="33"/>
    </i>
    <i>
      <x v="35"/>
    </i>
    <i>
      <x v="36"/>
    </i>
    <i>
      <x v="37"/>
    </i>
    <i>
      <x v="38"/>
    </i>
    <i>
      <x v="39"/>
    </i>
    <i>
      <x v="40"/>
    </i>
    <i>
      <x v="41"/>
    </i>
    <i t="grand">
      <x/>
    </i>
  </rowItems>
  <colItems count="1">
    <i/>
  </colItems>
  <dataFields count="1">
    <dataField name="计数项:Topic"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数据透视表1" cacheId="5"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3:B13" firstHeaderRow="1" firstDataRow="1" firstDataCol="1"/>
  <pivotFields count="1">
    <pivotField axis="axisRow" dataField="1" compact="0" showAll="0">
      <items count="10">
        <item x="0"/>
        <item x="8"/>
        <item x="4"/>
        <item x="7"/>
        <item x="3"/>
        <item x="5"/>
        <item x="1"/>
        <item x="6"/>
        <item x="2"/>
        <item t="default"/>
      </items>
    </pivotField>
  </pivotFields>
  <rowFields count="1">
    <field x="0"/>
  </rowFields>
  <rowItems count="10">
    <i>
      <x/>
    </i>
    <i>
      <x v="1"/>
    </i>
    <i>
      <x v="2"/>
    </i>
    <i>
      <x v="3"/>
    </i>
    <i>
      <x v="4"/>
    </i>
    <i>
      <x v="5"/>
    </i>
    <i>
      <x v="6"/>
    </i>
    <i>
      <x v="7"/>
    </i>
    <i>
      <x v="8"/>
    </i>
    <i t="grand">
      <x/>
    </i>
  </rowItems>
  <colItems count="1">
    <i/>
  </colItems>
  <dataFields count="1">
    <dataField name="计数项:Score"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数据透视表2" cacheId="6"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151" firstHeaderRow="1" firstDataRow="1" firstDataCol="1"/>
  <pivotFields count="10">
    <pivotField compact="0" showAll="0">
      <items count="108">
        <item x="28"/>
        <item x="76"/>
        <item x="75"/>
        <item x="86"/>
        <item x="87"/>
        <item x="100"/>
        <item x="101"/>
        <item x="42"/>
        <item x="49"/>
        <item x="65"/>
        <item x="61"/>
        <item x="69"/>
        <item x="23"/>
        <item x="3"/>
        <item x="12"/>
        <item x="7"/>
        <item x="10"/>
        <item x="14"/>
        <item x="20"/>
        <item x="59"/>
        <item x="2"/>
        <item x="21"/>
        <item x="46"/>
        <item x="83"/>
        <item x="88"/>
        <item x="94"/>
        <item x="97"/>
        <item x="64"/>
        <item x="72"/>
        <item x="84"/>
        <item x="85"/>
        <item x="95"/>
        <item x="50"/>
        <item x="33"/>
        <item x="47"/>
        <item x="98"/>
        <item x="102"/>
        <item x="103"/>
        <item x="62"/>
        <item x="34"/>
        <item x="53"/>
        <item x="54"/>
        <item x="78"/>
        <item x="99"/>
        <item x="31"/>
        <item x="60"/>
        <item x="8"/>
        <item x="30"/>
        <item x="36"/>
        <item x="43"/>
        <item x="19"/>
        <item x="38"/>
        <item x="15"/>
        <item x="56"/>
        <item x="77"/>
        <item x="96"/>
        <item x="52"/>
        <item x="66"/>
        <item x="74"/>
        <item x="93"/>
        <item x="22"/>
        <item x="51"/>
        <item x="48"/>
        <item x="89"/>
        <item x="44"/>
        <item x="105"/>
        <item x="106"/>
        <item x="41"/>
        <item x="63"/>
        <item x="6"/>
        <item x="29"/>
        <item x="18"/>
        <item x="17"/>
        <item x="90"/>
        <item x="45"/>
        <item x="1"/>
        <item x="80"/>
        <item x="39"/>
        <item x="81"/>
        <item x="71"/>
        <item x="26"/>
        <item x="79"/>
        <item x="57"/>
        <item x="55"/>
        <item x="16"/>
        <item x="37"/>
        <item x="40"/>
        <item x="25"/>
        <item x="11"/>
        <item x="9"/>
        <item x="5"/>
        <item x="27"/>
        <item x="24"/>
        <item x="35"/>
        <item x="58"/>
        <item x="67"/>
        <item x="91"/>
        <item x="104"/>
        <item x="4"/>
        <item x="32"/>
        <item x="68"/>
        <item x="73"/>
        <item x="0"/>
        <item x="13"/>
        <item x="92"/>
        <item x="70"/>
        <item x="82"/>
        <item t="default"/>
      </items>
    </pivotField>
    <pivotField compact="0" showAll="0">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compact="0" showAll="0">
      <items count="16">
        <item x="0"/>
        <item x="1"/>
        <item x="2"/>
        <item x="3"/>
        <item x="4"/>
        <item x="5"/>
        <item x="6"/>
        <item x="7"/>
        <item x="8"/>
        <item x="9"/>
        <item x="10"/>
        <item x="11"/>
        <item x="12"/>
        <item x="13"/>
        <item x="14"/>
        <item t="default"/>
      </items>
    </pivotField>
    <pivotField compact="0" showAll="0">
      <items count="3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t="default"/>
      </items>
    </pivotField>
    <pivotField compact="0" showAll="0">
      <items count="4">
        <item x="0"/>
        <item x="1"/>
        <item x="2"/>
        <item t="default"/>
      </items>
    </pivotField>
    <pivotField compact="0"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axis="axisRow" compact="0" sortType="descending" showAll="0">
      <items count="148">
        <item x="38"/>
        <item x="54"/>
        <item x="145"/>
        <item x="35"/>
        <item x="10"/>
        <item x="48"/>
        <item x="64"/>
        <item x="15"/>
        <item x="142"/>
        <item x="56"/>
        <item x="99"/>
        <item x="2"/>
        <item x="75"/>
        <item x="3"/>
        <item x="108"/>
        <item x="136"/>
        <item x="69"/>
        <item x="76"/>
        <item x="104"/>
        <item x="20"/>
        <item x="132"/>
        <item x="11"/>
        <item x="50"/>
        <item x="14"/>
        <item x="41"/>
        <item x="96"/>
        <item x="130"/>
        <item x="62"/>
        <item x="25"/>
        <item x="44"/>
        <item x="42"/>
        <item x="68"/>
        <item x="49"/>
        <item x="16"/>
        <item x="18"/>
        <item x="63"/>
        <item x="128"/>
        <item x="101"/>
        <item x="73"/>
        <item x="55"/>
        <item x="45"/>
        <item x="51"/>
        <item x="126"/>
        <item x="97"/>
        <item x="123"/>
        <item x="89"/>
        <item x="107"/>
        <item x="146"/>
        <item x="40"/>
        <item x="112"/>
        <item x="36"/>
        <item x="84"/>
        <item x="134"/>
        <item x="138"/>
        <item x="70"/>
        <item x="22"/>
        <item x="137"/>
        <item x="86"/>
        <item x="105"/>
        <item x="52"/>
        <item x="124"/>
        <item x="39"/>
        <item x="6"/>
        <item x="60"/>
        <item x="8"/>
        <item x="102"/>
        <item x="74"/>
        <item x="135"/>
        <item x="47"/>
        <item x="32"/>
        <item x="114"/>
        <item x="30"/>
        <item x="87"/>
        <item x="144"/>
        <item x="85"/>
        <item x="111"/>
        <item x="1"/>
        <item x="72"/>
        <item x="133"/>
        <item x="7"/>
        <item x="92"/>
        <item x="140"/>
        <item x="103"/>
        <item x="88"/>
        <item x="127"/>
        <item x="71"/>
        <item x="33"/>
        <item x="141"/>
        <item x="58"/>
        <item x="129"/>
        <item x="59"/>
        <item x="78"/>
        <item x="106"/>
        <item x="109"/>
        <item x="29"/>
        <item x="27"/>
        <item x="100"/>
        <item x="19"/>
        <item x="28"/>
        <item x="98"/>
        <item x="5"/>
        <item x="21"/>
        <item x="118"/>
        <item x="125"/>
        <item x="120"/>
        <item x="139"/>
        <item x="0"/>
        <item x="61"/>
        <item x="122"/>
        <item x="94"/>
        <item x="113"/>
        <item x="66"/>
        <item x="79"/>
        <item x="46"/>
        <item x="131"/>
        <item x="83"/>
        <item x="24"/>
        <item x="121"/>
        <item x="90"/>
        <item x="119"/>
        <item x="117"/>
        <item x="43"/>
        <item x="12"/>
        <item x="110"/>
        <item x="34"/>
        <item x="26"/>
        <item x="23"/>
        <item x="82"/>
        <item x="17"/>
        <item x="143"/>
        <item x="13"/>
        <item x="65"/>
        <item x="95"/>
        <item x="80"/>
        <item x="4"/>
        <item x="53"/>
        <item x="77"/>
        <item x="9"/>
        <item x="81"/>
        <item x="67"/>
        <item x="115"/>
        <item x="91"/>
        <item x="57"/>
        <item x="31"/>
        <item x="93"/>
        <item x="116"/>
        <item x="37"/>
        <item t="default"/>
      </items>
      <autoSortScope>
        <pivotArea fieldPosition="0">
          <references count="1">
            <reference field="4294967294" count="1" selected="0">
              <x v="0"/>
            </reference>
          </references>
        </pivotArea>
      </autoSortScope>
    </pivotField>
    <pivotField compact="0"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compact="0" showAll="0">
      <items count="8">
        <item x="0"/>
        <item x="1"/>
        <item x="2"/>
        <item x="3"/>
        <item x="4"/>
        <item x="5"/>
        <item x="6"/>
        <item t="default"/>
      </items>
    </pivotField>
    <pivotField dataField="1" compact="0" numFmtId="176" showAll="0">
      <items count="8">
        <item x="1"/>
        <item x="6"/>
        <item x="5"/>
        <item x="3"/>
        <item x="0"/>
        <item x="4"/>
        <item x="2"/>
        <item t="default"/>
      </items>
    </pivotField>
  </pivotFields>
  <rowFields count="1">
    <field x="6"/>
  </rowFields>
  <rowItems count="148">
    <i>
      <x v="100"/>
    </i>
    <i>
      <x v="79"/>
    </i>
    <i>
      <x v="134"/>
    </i>
    <i>
      <x v="101"/>
    </i>
    <i>
      <x v="112"/>
    </i>
    <i>
      <x v="137"/>
    </i>
    <i>
      <x v="52"/>
    </i>
    <i>
      <x/>
    </i>
    <i>
      <x v="6"/>
    </i>
    <i>
      <x v="45"/>
    </i>
    <i>
      <x v="124"/>
    </i>
    <i>
      <x v="5"/>
    </i>
    <i>
      <x v="63"/>
    </i>
    <i>
      <x v="122"/>
    </i>
    <i>
      <x v="3"/>
    </i>
    <i>
      <x v="61"/>
    </i>
    <i>
      <x v="11"/>
    </i>
    <i>
      <x v="116"/>
    </i>
    <i>
      <x v="143"/>
    </i>
    <i>
      <x v="140"/>
    </i>
    <i>
      <x v="130"/>
    </i>
    <i>
      <x v="129"/>
    </i>
    <i>
      <x v="119"/>
    </i>
    <i>
      <x v="110"/>
    </i>
    <i>
      <x v="90"/>
    </i>
    <i>
      <x v="88"/>
    </i>
    <i>
      <x v="87"/>
    </i>
    <i>
      <x v="86"/>
    </i>
    <i>
      <x v="81"/>
    </i>
    <i>
      <x v="80"/>
    </i>
    <i>
      <x v="58"/>
    </i>
    <i>
      <x v="55"/>
    </i>
    <i>
      <x v="53"/>
    </i>
    <i>
      <x v="41"/>
    </i>
    <i>
      <x v="38"/>
    </i>
    <i>
      <x v="34"/>
    </i>
    <i>
      <x v="32"/>
    </i>
    <i>
      <x v="27"/>
    </i>
    <i>
      <x v="22"/>
    </i>
    <i>
      <x v="8"/>
    </i>
    <i>
      <x v="70"/>
    </i>
    <i>
      <x v="35"/>
    </i>
    <i>
      <x v="33"/>
    </i>
    <i>
      <x v="30"/>
    </i>
    <i>
      <x v="23"/>
    </i>
    <i>
      <x v="74"/>
    </i>
    <i>
      <x v="44"/>
    </i>
    <i>
      <x v="17"/>
    </i>
    <i>
      <x v="9"/>
    </i>
    <i>
      <x v="128"/>
    </i>
    <i>
      <x v="105"/>
    </i>
    <i>
      <x v="92"/>
    </i>
    <i>
      <x v="48"/>
    </i>
    <i>
      <x v="46"/>
    </i>
    <i>
      <x v="69"/>
    </i>
    <i>
      <x v="95"/>
    </i>
    <i>
      <x v="77"/>
    </i>
    <i>
      <x v="37"/>
    </i>
    <i>
      <x v="1"/>
    </i>
    <i>
      <x v="133"/>
    </i>
    <i>
      <x v="120"/>
    </i>
    <i>
      <x v="106"/>
    </i>
    <i>
      <x v="93"/>
    </i>
    <i>
      <x v="56"/>
    </i>
    <i>
      <x v="39"/>
    </i>
    <i>
      <x v="28"/>
    </i>
    <i>
      <x v="21"/>
    </i>
    <i>
      <x v="19"/>
    </i>
    <i>
      <x v="146"/>
    </i>
    <i>
      <x v="125"/>
    </i>
    <i>
      <x v="107"/>
    </i>
    <i>
      <x v="109"/>
    </i>
    <i>
      <x v="121"/>
    </i>
    <i>
      <x v="104"/>
    </i>
    <i>
      <x v="82"/>
    </i>
    <i>
      <x v="18"/>
    </i>
    <i>
      <x v="145"/>
    </i>
    <i>
      <x v="136"/>
    </i>
    <i>
      <x v="135"/>
    </i>
    <i>
      <x v="131"/>
    </i>
    <i>
      <x v="123"/>
    </i>
    <i>
      <x v="91"/>
    </i>
    <i>
      <x v="73"/>
    </i>
    <i>
      <x v="67"/>
    </i>
    <i>
      <x v="66"/>
    </i>
    <i>
      <x v="50"/>
    </i>
    <i>
      <x v="36"/>
    </i>
    <i>
      <x v="31"/>
    </i>
    <i>
      <x v="15"/>
    </i>
    <i>
      <x v="12"/>
    </i>
    <i>
      <x v="13"/>
    </i>
    <i>
      <x v="26"/>
    </i>
    <i>
      <x v="25"/>
    </i>
    <i>
      <x v="103"/>
    </i>
    <i>
      <x v="84"/>
    </i>
    <i>
      <x v="117"/>
    </i>
    <i>
      <x v="85"/>
    </i>
    <i>
      <x v="65"/>
    </i>
    <i>
      <x v="54"/>
    </i>
    <i>
      <x v="29"/>
    </i>
    <i>
      <x v="16"/>
    </i>
    <i>
      <x v="139"/>
    </i>
    <i>
      <x v="138"/>
    </i>
    <i>
      <x v="102"/>
    </i>
    <i>
      <x v="97"/>
    </i>
    <i>
      <x v="76"/>
    </i>
    <i>
      <x v="71"/>
    </i>
    <i>
      <x v="14"/>
    </i>
    <i>
      <x v="4"/>
    </i>
    <i>
      <x v="144"/>
    </i>
    <i>
      <x v="114"/>
    </i>
    <i>
      <x v="7"/>
    </i>
    <i>
      <x v="141"/>
    </i>
    <i>
      <x v="127"/>
    </i>
    <i>
      <x v="126"/>
    </i>
    <i>
      <x v="118"/>
    </i>
    <i>
      <x v="115"/>
    </i>
    <i>
      <x v="113"/>
    </i>
    <i>
      <x v="111"/>
    </i>
    <i>
      <x v="99"/>
    </i>
    <i>
      <x v="96"/>
    </i>
    <i>
      <x v="83"/>
    </i>
    <i>
      <x v="75"/>
    </i>
    <i>
      <x v="72"/>
    </i>
    <i>
      <x v="68"/>
    </i>
    <i>
      <x v="59"/>
    </i>
    <i>
      <x v="51"/>
    </i>
    <i>
      <x v="49"/>
    </i>
    <i>
      <x v="47"/>
    </i>
    <i>
      <x v="43"/>
    </i>
    <i>
      <x v="24"/>
    </i>
    <i>
      <x v="10"/>
    </i>
    <i>
      <x v="2"/>
    </i>
    <i>
      <x v="142"/>
    </i>
    <i>
      <x v="89"/>
    </i>
    <i>
      <x v="42"/>
    </i>
    <i>
      <x v="108"/>
    </i>
    <i>
      <x v="98"/>
    </i>
    <i>
      <x v="94"/>
    </i>
    <i>
      <x v="60"/>
    </i>
    <i>
      <x v="40"/>
    </i>
    <i>
      <x v="132"/>
    </i>
    <i>
      <x v="78"/>
    </i>
    <i>
      <x v="64"/>
    </i>
    <i>
      <x v="62"/>
    </i>
    <i>
      <x v="57"/>
    </i>
    <i>
      <x v="20"/>
    </i>
    <i t="grand">
      <x/>
    </i>
  </rowItems>
  <colItems count="1">
    <i/>
  </colItems>
  <dataFields count="1">
    <dataField name="求和项:Score" fld="9" baseField="0" baseItem="0" numFmtId="177"/>
  </dataFields>
  <pivotTableStyleInfo name="PivotStyleLight16 2"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数据透视表4" cacheId="6"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41" firstHeaderRow="1" firstDataRow="1" firstDataCol="1"/>
  <pivotFields count="10">
    <pivotField compact="0" showAll="0">
      <items count="108">
        <item x="28"/>
        <item x="76"/>
        <item x="75"/>
        <item x="86"/>
        <item x="87"/>
        <item x="100"/>
        <item x="101"/>
        <item x="42"/>
        <item x="49"/>
        <item x="65"/>
        <item x="61"/>
        <item x="69"/>
        <item x="23"/>
        <item x="3"/>
        <item x="12"/>
        <item x="7"/>
        <item x="10"/>
        <item x="14"/>
        <item x="20"/>
        <item x="59"/>
        <item x="2"/>
        <item x="21"/>
        <item x="46"/>
        <item x="83"/>
        <item x="88"/>
        <item x="94"/>
        <item x="97"/>
        <item x="64"/>
        <item x="72"/>
        <item x="84"/>
        <item x="85"/>
        <item x="95"/>
        <item x="50"/>
        <item x="33"/>
        <item x="47"/>
        <item x="98"/>
        <item x="102"/>
        <item x="103"/>
        <item x="62"/>
        <item x="34"/>
        <item x="53"/>
        <item x="54"/>
        <item x="78"/>
        <item x="99"/>
        <item x="31"/>
        <item x="60"/>
        <item x="8"/>
        <item x="30"/>
        <item x="36"/>
        <item x="43"/>
        <item x="19"/>
        <item x="38"/>
        <item x="15"/>
        <item x="56"/>
        <item x="77"/>
        <item x="96"/>
        <item x="52"/>
        <item x="66"/>
        <item x="74"/>
        <item x="93"/>
        <item x="22"/>
        <item x="51"/>
        <item x="48"/>
        <item x="89"/>
        <item x="44"/>
        <item x="105"/>
        <item x="106"/>
        <item x="41"/>
        <item x="63"/>
        <item x="6"/>
        <item x="29"/>
        <item x="18"/>
        <item x="17"/>
        <item x="90"/>
        <item x="45"/>
        <item x="1"/>
        <item x="80"/>
        <item x="39"/>
        <item x="81"/>
        <item x="71"/>
        <item x="26"/>
        <item x="79"/>
        <item x="57"/>
        <item x="55"/>
        <item x="16"/>
        <item x="37"/>
        <item x="40"/>
        <item x="25"/>
        <item x="11"/>
        <item x="9"/>
        <item x="5"/>
        <item x="27"/>
        <item x="24"/>
        <item x="35"/>
        <item x="58"/>
        <item x="67"/>
        <item x="91"/>
        <item x="104"/>
        <item x="4"/>
        <item x="32"/>
        <item x="68"/>
        <item x="73"/>
        <item x="0"/>
        <item x="13"/>
        <item x="92"/>
        <item x="70"/>
        <item x="82"/>
        <item t="default"/>
      </items>
    </pivotField>
    <pivotField compact="0" showAll="0">
      <items count="108">
        <item x="76"/>
        <item x="13"/>
        <item x="2"/>
        <item x="14"/>
        <item x="44"/>
        <item x="1"/>
        <item x="73"/>
        <item x="55"/>
        <item x="104"/>
        <item x="22"/>
        <item x="58"/>
        <item x="78"/>
        <item x="40"/>
        <item x="85"/>
        <item x="61"/>
        <item x="50"/>
        <item x="87"/>
        <item x="38"/>
        <item x="16"/>
        <item x="77"/>
        <item x="6"/>
        <item x="59"/>
        <item x="105"/>
        <item x="75"/>
        <item x="30"/>
        <item x="86"/>
        <item x="93"/>
        <item x="96"/>
        <item x="89"/>
        <item x="23"/>
        <item x="8"/>
        <item x="43"/>
        <item x="36"/>
        <item x="82"/>
        <item x="46"/>
        <item x="67"/>
        <item x="21"/>
        <item x="48"/>
        <item x="54"/>
        <item x="83"/>
        <item x="56"/>
        <item x="90"/>
        <item x="0"/>
        <item x="19"/>
        <item x="18"/>
        <item x="51"/>
        <item x="33"/>
        <item x="27"/>
        <item x="94"/>
        <item x="80"/>
        <item x="100"/>
        <item x="42"/>
        <item x="65"/>
        <item x="34"/>
        <item x="95"/>
        <item x="9"/>
        <item x="35"/>
        <item x="11"/>
        <item x="66"/>
        <item x="62"/>
        <item x="32"/>
        <item x="74"/>
        <item x="41"/>
        <item x="49"/>
        <item x="68"/>
        <item x="70"/>
        <item x="72"/>
        <item x="25"/>
        <item x="88"/>
        <item x="39"/>
        <item x="53"/>
        <item x="98"/>
        <item x="3"/>
        <item x="106"/>
        <item x="31"/>
        <item x="52"/>
        <item x="45"/>
        <item x="57"/>
        <item x="81"/>
        <item x="69"/>
        <item x="17"/>
        <item x="28"/>
        <item x="101"/>
        <item x="12"/>
        <item x="99"/>
        <item x="92"/>
        <item x="79"/>
        <item x="97"/>
        <item x="37"/>
        <item x="10"/>
        <item x="60"/>
        <item x="24"/>
        <item x="63"/>
        <item x="20"/>
        <item x="4"/>
        <item x="71"/>
        <item x="103"/>
        <item x="29"/>
        <item x="91"/>
        <item x="64"/>
        <item x="47"/>
        <item x="84"/>
        <item x="102"/>
        <item x="15"/>
        <item x="26"/>
        <item x="7"/>
        <item x="5"/>
        <item t="default"/>
      </items>
    </pivotField>
    <pivotField compact="0" showAll="0">
      <items count="16">
        <item x="0"/>
        <item x="1"/>
        <item x="2"/>
        <item x="3"/>
        <item x="4"/>
        <item x="5"/>
        <item x="6"/>
        <item x="7"/>
        <item x="8"/>
        <item x="9"/>
        <item x="10"/>
        <item x="11"/>
        <item x="12"/>
        <item x="13"/>
        <item x="14"/>
        <item t="default"/>
      </items>
    </pivotField>
    <pivotField compact="0" showAll="0">
      <items count="3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t="default"/>
      </items>
    </pivotField>
    <pivotField compact="0" showAll="0">
      <items count="4">
        <item x="0"/>
        <item x="1"/>
        <item x="2"/>
        <item t="default"/>
      </items>
    </pivotField>
    <pivotField compact="0"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compact="0" sortType="descending" showAll="0">
      <items count="148">
        <item x="38"/>
        <item x="54"/>
        <item x="145"/>
        <item x="35"/>
        <item x="10"/>
        <item x="48"/>
        <item x="64"/>
        <item x="15"/>
        <item x="142"/>
        <item x="56"/>
        <item x="99"/>
        <item x="2"/>
        <item x="75"/>
        <item x="3"/>
        <item x="108"/>
        <item x="136"/>
        <item x="69"/>
        <item x="76"/>
        <item x="104"/>
        <item x="20"/>
        <item x="132"/>
        <item x="11"/>
        <item x="50"/>
        <item x="14"/>
        <item x="41"/>
        <item x="96"/>
        <item x="130"/>
        <item x="62"/>
        <item x="25"/>
        <item x="44"/>
        <item x="42"/>
        <item x="68"/>
        <item x="49"/>
        <item x="16"/>
        <item x="18"/>
        <item x="63"/>
        <item x="128"/>
        <item x="101"/>
        <item x="73"/>
        <item x="55"/>
        <item x="45"/>
        <item x="51"/>
        <item x="126"/>
        <item x="97"/>
        <item x="123"/>
        <item x="89"/>
        <item x="107"/>
        <item x="146"/>
        <item x="40"/>
        <item x="112"/>
        <item x="36"/>
        <item x="84"/>
        <item x="134"/>
        <item x="138"/>
        <item x="70"/>
        <item x="22"/>
        <item x="137"/>
        <item x="86"/>
        <item x="105"/>
        <item x="52"/>
        <item x="124"/>
        <item x="39"/>
        <item x="6"/>
        <item x="60"/>
        <item x="8"/>
        <item x="102"/>
        <item x="74"/>
        <item x="135"/>
        <item x="47"/>
        <item x="32"/>
        <item x="114"/>
        <item x="30"/>
        <item x="87"/>
        <item x="144"/>
        <item x="85"/>
        <item x="111"/>
        <item x="1"/>
        <item x="72"/>
        <item x="133"/>
        <item x="7"/>
        <item x="92"/>
        <item x="140"/>
        <item x="103"/>
        <item x="88"/>
        <item x="127"/>
        <item x="71"/>
        <item x="33"/>
        <item x="141"/>
        <item x="58"/>
        <item x="129"/>
        <item x="59"/>
        <item x="78"/>
        <item x="106"/>
        <item x="109"/>
        <item x="29"/>
        <item x="27"/>
        <item x="100"/>
        <item x="19"/>
        <item x="28"/>
        <item x="98"/>
        <item x="5"/>
        <item x="21"/>
        <item x="118"/>
        <item x="125"/>
        <item x="120"/>
        <item x="139"/>
        <item x="0"/>
        <item x="61"/>
        <item x="122"/>
        <item x="94"/>
        <item x="113"/>
        <item x="66"/>
        <item x="79"/>
        <item x="46"/>
        <item x="131"/>
        <item x="83"/>
        <item x="24"/>
        <item x="121"/>
        <item x="90"/>
        <item x="119"/>
        <item x="117"/>
        <item x="43"/>
        <item x="12"/>
        <item x="110"/>
        <item x="34"/>
        <item x="26"/>
        <item x="23"/>
        <item x="82"/>
        <item x="17"/>
        <item x="143"/>
        <item x="13"/>
        <item x="65"/>
        <item x="95"/>
        <item x="80"/>
        <item x="4"/>
        <item x="53"/>
        <item x="77"/>
        <item x="9"/>
        <item x="81"/>
        <item x="67"/>
        <item x="115"/>
        <item x="91"/>
        <item x="57"/>
        <item x="31"/>
        <item x="93"/>
        <item x="116"/>
        <item x="37"/>
        <item t="default"/>
      </items>
      <autoSortScope>
        <pivotArea type="none" outline="0" fieldPosition="0"/>
      </autoSortScope>
    </pivotField>
    <pivotField axis="axisRow" compact="0" sortType="descending" showAll="0">
      <items count="38">
        <item x="35"/>
        <item x="16"/>
        <item x="12"/>
        <item x="31"/>
        <item x="3"/>
        <item x="11"/>
        <item x="6"/>
        <item x="10"/>
        <item x="4"/>
        <item x="20"/>
        <item x="25"/>
        <item x="14"/>
        <item x="15"/>
        <item x="0"/>
        <item x="9"/>
        <item x="26"/>
        <item x="19"/>
        <item x="17"/>
        <item x="7"/>
        <item x="23"/>
        <item x="36"/>
        <item x="1"/>
        <item x="8"/>
        <item x="33"/>
        <item x="30"/>
        <item x="13"/>
        <item x="22"/>
        <item x="2"/>
        <item x="27"/>
        <item x="34"/>
        <item x="28"/>
        <item x="29"/>
        <item x="32"/>
        <item x="24"/>
        <item x="21"/>
        <item x="18"/>
        <item x="5"/>
        <item t="default"/>
      </items>
      <autoSortScope>
        <pivotArea fieldPosition="0">
          <references count="1">
            <reference field="4294967294" count="1" selected="0">
              <x v="0"/>
            </reference>
          </references>
        </pivotArea>
      </autoSortScope>
    </pivotField>
    <pivotField compact="0" showAll="0">
      <items count="8">
        <item x="0"/>
        <item x="1"/>
        <item x="2"/>
        <item x="3"/>
        <item x="4"/>
        <item x="5"/>
        <item x="6"/>
        <item t="default"/>
      </items>
    </pivotField>
    <pivotField dataField="1" compact="0" numFmtId="176" showAll="0">
      <items count="8">
        <item x="1"/>
        <item x="6"/>
        <item x="5"/>
        <item x="3"/>
        <item x="0"/>
        <item x="4"/>
        <item x="2"/>
        <item t="default"/>
      </items>
    </pivotField>
  </pivotFields>
  <rowFields count="1">
    <field x="7"/>
  </rowFields>
  <rowItems count="38">
    <i>
      <x v="7"/>
    </i>
    <i>
      <x v="8"/>
    </i>
    <i>
      <x v="13"/>
    </i>
    <i>
      <x v="14"/>
    </i>
    <i>
      <x v="36"/>
    </i>
    <i>
      <x v="27"/>
    </i>
    <i>
      <x v="21"/>
    </i>
    <i>
      <x v="11"/>
    </i>
    <i>
      <x v="4"/>
    </i>
    <i>
      <x v="2"/>
    </i>
    <i>
      <x v="16"/>
    </i>
    <i>
      <x v="1"/>
    </i>
    <i>
      <x v="25"/>
    </i>
    <i>
      <x v="12"/>
    </i>
    <i>
      <x v="18"/>
    </i>
    <i>
      <x v="6"/>
    </i>
    <i>
      <x v="5"/>
    </i>
    <i>
      <x v="17"/>
    </i>
    <i>
      <x v="26"/>
    </i>
    <i>
      <x v="22"/>
    </i>
    <i>
      <x v="32"/>
    </i>
    <i>
      <x v="34"/>
    </i>
    <i>
      <x v="33"/>
    </i>
    <i>
      <x v="30"/>
    </i>
    <i>
      <x v="19"/>
    </i>
    <i>
      <x v="3"/>
    </i>
    <i>
      <x/>
    </i>
    <i>
      <x v="31"/>
    </i>
    <i>
      <x v="24"/>
    </i>
    <i>
      <x v="23"/>
    </i>
    <i>
      <x v="15"/>
    </i>
    <i>
      <x v="9"/>
    </i>
    <i>
      <x v="20"/>
    </i>
    <i>
      <x v="29"/>
    </i>
    <i>
      <x v="28"/>
    </i>
    <i>
      <x v="10"/>
    </i>
    <i>
      <x v="35"/>
    </i>
    <i t="grand">
      <x/>
    </i>
  </rowItems>
  <colItems count="1">
    <i/>
  </colItems>
  <dataFields count="1">
    <dataField name="求和项:Score" fld="9" baseField="0" baseItem="0" numFmtId="177"/>
  </dataFields>
  <pivotTableStyleInfo name="PivotStyleLight16 3"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38"/>
  <sheetViews>
    <sheetView workbookViewId="0">
      <selection activeCell="G3" sqref="G3"/>
    </sheetView>
  </sheetViews>
  <sheetFormatPr defaultColWidth="9" defaultRowHeight="14"/>
  <cols>
    <col min="1" max="1" width="9" style="12"/>
    <col min="2" max="2" width="9" style="9"/>
    <col min="3" max="3" width="17.8181818181818" style="13" customWidth="1"/>
    <col min="4" max="4" width="17.3636363636364" style="13" customWidth="1"/>
    <col min="5" max="6" width="18.5454545454545" style="12" customWidth="1"/>
    <col min="7" max="7" width="26.3636363636364" style="13" customWidth="1"/>
    <col min="8" max="8" width="57.5454545454545" style="13" customWidth="1"/>
    <col min="9" max="9" width="61.0909090909091" style="13" customWidth="1"/>
    <col min="10" max="16384" width="9" style="9"/>
  </cols>
  <sheetData>
    <row r="1" spans="1:9">
      <c r="A1" s="12" t="s">
        <v>0</v>
      </c>
      <c r="B1" s="9" t="s">
        <v>1</v>
      </c>
      <c r="C1" s="13" t="s">
        <v>2</v>
      </c>
      <c r="D1" s="13" t="s">
        <v>3</v>
      </c>
      <c r="E1" s="12" t="s">
        <v>4</v>
      </c>
      <c r="F1" s="12" t="s">
        <v>5</v>
      </c>
      <c r="G1" s="13" t="s">
        <v>6</v>
      </c>
      <c r="H1" s="13" t="s">
        <v>7</v>
      </c>
      <c r="I1" s="13" t="s">
        <v>8</v>
      </c>
    </row>
    <row r="2" s="9" customFormat="1" spans="1:9">
      <c r="A2" s="12">
        <v>1</v>
      </c>
      <c r="B2" s="9" t="s">
        <v>9</v>
      </c>
      <c r="C2" s="13" t="s">
        <v>10</v>
      </c>
      <c r="D2" s="13" t="s">
        <v>11</v>
      </c>
      <c r="E2" s="12">
        <v>2016</v>
      </c>
      <c r="F2" s="12" t="str">
        <f>IF(ISERROR(VLOOKUP(H2,[1]final!H:H,1,0)),"0","1")</f>
        <v>1</v>
      </c>
      <c r="G2" s="13"/>
      <c r="H2" s="13" t="s">
        <v>12</v>
      </c>
      <c r="I2" s="13" t="s">
        <v>13</v>
      </c>
    </row>
    <row r="3" s="9" customFormat="1" spans="1:9">
      <c r="A3" s="12">
        <v>2</v>
      </c>
      <c r="B3" s="9" t="s">
        <v>9</v>
      </c>
      <c r="C3" s="13" t="s">
        <v>10</v>
      </c>
      <c r="D3" s="13" t="s">
        <v>11</v>
      </c>
      <c r="E3" s="12">
        <v>2010</v>
      </c>
      <c r="F3" s="12" t="str">
        <f>IF(ISERROR(VLOOKUP(H3,[1]final!H:H,1,0)),"0","1")</f>
        <v>1</v>
      </c>
      <c r="G3" s="13"/>
      <c r="H3" s="13" t="s">
        <v>14</v>
      </c>
      <c r="I3" s="13" t="s">
        <v>15</v>
      </c>
    </row>
    <row r="4" s="9" customFormat="1" spans="1:9">
      <c r="A4" s="12">
        <v>3</v>
      </c>
      <c r="B4" s="9" t="s">
        <v>9</v>
      </c>
      <c r="C4" s="13" t="s">
        <v>10</v>
      </c>
      <c r="D4" s="13" t="s">
        <v>11</v>
      </c>
      <c r="E4" s="12">
        <v>2015</v>
      </c>
      <c r="F4" s="12" t="str">
        <f>IF(ISERROR(VLOOKUP(H4,[1]final!H:H,1,0)),"0","1")</f>
        <v>0</v>
      </c>
      <c r="G4" s="13" t="s">
        <v>16</v>
      </c>
      <c r="H4" s="13" t="s">
        <v>17</v>
      </c>
      <c r="I4" s="13" t="s">
        <v>18</v>
      </c>
    </row>
    <row r="5" s="9" customFormat="1" spans="1:9">
      <c r="A5" s="12">
        <v>4</v>
      </c>
      <c r="B5" s="9" t="s">
        <v>9</v>
      </c>
      <c r="C5" s="13" t="s">
        <v>10</v>
      </c>
      <c r="D5" s="13" t="s">
        <v>11</v>
      </c>
      <c r="E5" s="12">
        <v>2014</v>
      </c>
      <c r="F5" s="12" t="str">
        <f>IF(ISERROR(VLOOKUP(H5,[1]final!H:H,1,0)),"0","1")</f>
        <v>0</v>
      </c>
      <c r="G5" s="13" t="s">
        <v>19</v>
      </c>
      <c r="H5" s="13" t="s">
        <v>20</v>
      </c>
      <c r="I5" s="13" t="s">
        <v>21</v>
      </c>
    </row>
    <row r="6" s="9" customFormat="1" spans="1:9">
      <c r="A6" s="12">
        <v>5</v>
      </c>
      <c r="B6" s="9" t="s">
        <v>9</v>
      </c>
      <c r="C6" s="13" t="s">
        <v>10</v>
      </c>
      <c r="D6" s="13" t="s">
        <v>11</v>
      </c>
      <c r="E6" s="12">
        <v>2014</v>
      </c>
      <c r="F6" s="12" t="str">
        <f>IF(ISERROR(VLOOKUP(H6,[1]final!H:H,1,0)),"0","1")</f>
        <v>1</v>
      </c>
      <c r="G6" s="13"/>
      <c r="H6" s="13" t="s">
        <v>22</v>
      </c>
      <c r="I6" s="13" t="s">
        <v>23</v>
      </c>
    </row>
    <row r="7" s="9" customFormat="1" spans="1:9">
      <c r="A7" s="12">
        <v>6</v>
      </c>
      <c r="B7" s="9" t="s">
        <v>9</v>
      </c>
      <c r="C7" s="13" t="s">
        <v>10</v>
      </c>
      <c r="D7" s="13" t="s">
        <v>11</v>
      </c>
      <c r="E7" s="12">
        <v>2014</v>
      </c>
      <c r="F7" s="12" t="str">
        <f>IF(ISERROR(VLOOKUP(H7,[1]final!H:H,1,0)),"0","1")</f>
        <v>1</v>
      </c>
      <c r="G7" s="13"/>
      <c r="H7" s="13" t="s">
        <v>24</v>
      </c>
      <c r="I7" s="13" t="s">
        <v>25</v>
      </c>
    </row>
    <row r="8" s="9" customFormat="1" spans="1:9">
      <c r="A8" s="12">
        <v>7</v>
      </c>
      <c r="B8" s="9" t="s">
        <v>9</v>
      </c>
      <c r="C8" s="13" t="s">
        <v>10</v>
      </c>
      <c r="D8" s="13" t="s">
        <v>11</v>
      </c>
      <c r="E8" s="12">
        <v>2018</v>
      </c>
      <c r="F8" s="12" t="str">
        <f>IF(ISERROR(VLOOKUP(H8,[1]final!H:H,1,0)),"0","1")</f>
        <v>1</v>
      </c>
      <c r="G8" s="13"/>
      <c r="H8" s="13" t="s">
        <v>26</v>
      </c>
      <c r="I8" s="13" t="s">
        <v>27</v>
      </c>
    </row>
    <row r="9" s="9" customFormat="1" spans="1:9">
      <c r="A9" s="12">
        <v>8</v>
      </c>
      <c r="B9" s="9" t="s">
        <v>9</v>
      </c>
      <c r="C9" s="13" t="s">
        <v>10</v>
      </c>
      <c r="D9" s="13" t="s">
        <v>11</v>
      </c>
      <c r="E9" s="12">
        <v>2010</v>
      </c>
      <c r="F9" s="12" t="str">
        <f>IF(ISERROR(VLOOKUP(H9,[1]final!H:H,1,0)),"0","1")</f>
        <v>0</v>
      </c>
      <c r="G9" s="13" t="s">
        <v>19</v>
      </c>
      <c r="H9" s="13" t="s">
        <v>28</v>
      </c>
      <c r="I9" s="13" t="s">
        <v>29</v>
      </c>
    </row>
    <row r="10" s="9" customFormat="1" spans="1:9">
      <c r="A10" s="12">
        <v>9</v>
      </c>
      <c r="B10" s="9" t="s">
        <v>9</v>
      </c>
      <c r="C10" s="13" t="s">
        <v>10</v>
      </c>
      <c r="D10" s="13" t="s">
        <v>11</v>
      </c>
      <c r="E10" s="12">
        <v>2016</v>
      </c>
      <c r="F10" s="12" t="str">
        <f>IF(ISERROR(VLOOKUP(H10,[1]final!H:H,1,0)),"0","1")</f>
        <v>0</v>
      </c>
      <c r="G10" s="13" t="s">
        <v>19</v>
      </c>
      <c r="H10" s="13" t="s">
        <v>30</v>
      </c>
      <c r="I10" s="13" t="s">
        <v>31</v>
      </c>
    </row>
    <row r="11" s="9" customFormat="1" spans="1:9">
      <c r="A11" s="12">
        <v>10</v>
      </c>
      <c r="B11" s="9" t="s">
        <v>9</v>
      </c>
      <c r="C11" s="13" t="s">
        <v>10</v>
      </c>
      <c r="D11" s="13" t="s">
        <v>11</v>
      </c>
      <c r="E11" s="12">
        <v>2009</v>
      </c>
      <c r="F11" s="12" t="str">
        <f>IF(ISERROR(VLOOKUP(H11,[1]final!H:H,1,0)),"0","1")</f>
        <v>0</v>
      </c>
      <c r="G11" s="13" t="s">
        <v>32</v>
      </c>
      <c r="H11" s="13" t="s">
        <v>33</v>
      </c>
      <c r="I11" s="13" t="s">
        <v>34</v>
      </c>
    </row>
    <row r="12" s="9" customFormat="1" spans="1:9">
      <c r="A12" s="12">
        <v>11</v>
      </c>
      <c r="B12" s="9" t="s">
        <v>9</v>
      </c>
      <c r="C12" s="13" t="s">
        <v>10</v>
      </c>
      <c r="D12" s="13" t="s">
        <v>11</v>
      </c>
      <c r="E12" s="12">
        <v>2007</v>
      </c>
      <c r="F12" s="12" t="str">
        <f>IF(ISERROR(VLOOKUP(H12,[1]final!H:H,1,0)),"0","1")</f>
        <v>0</v>
      </c>
      <c r="G12" s="13" t="s">
        <v>32</v>
      </c>
      <c r="H12" s="13" t="s">
        <v>35</v>
      </c>
      <c r="I12" s="13" t="s">
        <v>36</v>
      </c>
    </row>
    <row r="13" s="9" customFormat="1" spans="1:9">
      <c r="A13" s="12">
        <v>12</v>
      </c>
      <c r="B13" s="9" t="s">
        <v>9</v>
      </c>
      <c r="C13" s="13" t="s">
        <v>10</v>
      </c>
      <c r="D13" s="13" t="s">
        <v>11</v>
      </c>
      <c r="E13" s="12">
        <v>2008</v>
      </c>
      <c r="F13" s="12" t="str">
        <f>IF(ISERROR(VLOOKUP(H13,[1]final!H:H,1,0)),"0","1")</f>
        <v>0</v>
      </c>
      <c r="G13" s="13" t="s">
        <v>32</v>
      </c>
      <c r="H13" s="13" t="s">
        <v>37</v>
      </c>
      <c r="I13" s="13" t="s">
        <v>38</v>
      </c>
    </row>
    <row r="14" s="9" customFormat="1" spans="1:9">
      <c r="A14" s="12">
        <v>13</v>
      </c>
      <c r="B14" s="9" t="s">
        <v>9</v>
      </c>
      <c r="C14" s="13" t="s">
        <v>10</v>
      </c>
      <c r="D14" s="13" t="s">
        <v>11</v>
      </c>
      <c r="E14" s="12">
        <v>2020</v>
      </c>
      <c r="F14" s="12" t="str">
        <f>IF(ISERROR(VLOOKUP(H14,[1]final!H:H,1,0)),"0","1")</f>
        <v>0</v>
      </c>
      <c r="G14" s="13" t="s">
        <v>16</v>
      </c>
      <c r="H14" s="13" t="s">
        <v>39</v>
      </c>
      <c r="I14" s="13" t="s">
        <v>40</v>
      </c>
    </row>
    <row r="15" s="9" customFormat="1" spans="1:9">
      <c r="A15" s="12">
        <v>14</v>
      </c>
      <c r="B15" s="9" t="s">
        <v>9</v>
      </c>
      <c r="C15" s="13" t="s">
        <v>10</v>
      </c>
      <c r="D15" s="13" t="s">
        <v>11</v>
      </c>
      <c r="E15" s="12">
        <v>1996</v>
      </c>
      <c r="F15" s="12" t="str">
        <f>IF(ISERROR(VLOOKUP(H15,[1]final!H:H,1,0)),"0","1")</f>
        <v>0</v>
      </c>
      <c r="G15" s="13" t="s">
        <v>32</v>
      </c>
      <c r="H15" s="13" t="s">
        <v>41</v>
      </c>
      <c r="I15" s="13" t="s">
        <v>42</v>
      </c>
    </row>
    <row r="16" s="9" customFormat="1" spans="1:9">
      <c r="A16" s="12">
        <v>15</v>
      </c>
      <c r="B16" s="9" t="s">
        <v>9</v>
      </c>
      <c r="C16" s="13" t="s">
        <v>10</v>
      </c>
      <c r="D16" s="13" t="s">
        <v>11</v>
      </c>
      <c r="E16" s="12">
        <v>2007</v>
      </c>
      <c r="F16" s="12" t="str">
        <f>IF(ISERROR(VLOOKUP(H16,[1]final!H:H,1,0)),"0","1")</f>
        <v>0</v>
      </c>
      <c r="G16" s="13" t="s">
        <v>32</v>
      </c>
      <c r="H16" s="13" t="s">
        <v>43</v>
      </c>
      <c r="I16" s="13" t="s">
        <v>44</v>
      </c>
    </row>
    <row r="17" s="9" customFormat="1" spans="1:9">
      <c r="A17" s="12">
        <v>16</v>
      </c>
      <c r="B17" s="9" t="s">
        <v>9</v>
      </c>
      <c r="C17" s="13" t="s">
        <v>10</v>
      </c>
      <c r="D17" s="13" t="s">
        <v>11</v>
      </c>
      <c r="E17" s="12">
        <v>2008</v>
      </c>
      <c r="F17" s="12" t="str">
        <f>IF(ISERROR(VLOOKUP(H17,[1]final!H:H,1,0)),"0","1")</f>
        <v>0</v>
      </c>
      <c r="G17" s="13" t="s">
        <v>32</v>
      </c>
      <c r="H17" s="13" t="s">
        <v>45</v>
      </c>
      <c r="I17" s="13" t="s">
        <v>46</v>
      </c>
    </row>
    <row r="18" s="9" customFormat="1" spans="1:9">
      <c r="A18" s="12">
        <v>17</v>
      </c>
      <c r="B18" s="9" t="s">
        <v>9</v>
      </c>
      <c r="C18" s="13" t="s">
        <v>10</v>
      </c>
      <c r="D18" s="13" t="s">
        <v>11</v>
      </c>
      <c r="E18" s="12">
        <v>2014</v>
      </c>
      <c r="F18" s="12" t="str">
        <f>IF(ISERROR(VLOOKUP(H18,[1]final!H:H,1,0)),"0","1")</f>
        <v>0</v>
      </c>
      <c r="G18" s="13" t="s">
        <v>16</v>
      </c>
      <c r="H18" s="13" t="s">
        <v>47</v>
      </c>
      <c r="I18" s="13" t="s">
        <v>48</v>
      </c>
    </row>
    <row r="19" s="9" customFormat="1" spans="1:9">
      <c r="A19" s="12">
        <v>18</v>
      </c>
      <c r="B19" s="9" t="s">
        <v>9</v>
      </c>
      <c r="C19" s="13" t="s">
        <v>10</v>
      </c>
      <c r="D19" s="13" t="s">
        <v>11</v>
      </c>
      <c r="E19" s="12">
        <v>2009</v>
      </c>
      <c r="F19" s="12" t="str">
        <f>IF(ISERROR(VLOOKUP(H19,[1]final!H:H,1,0)),"0","1")</f>
        <v>0</v>
      </c>
      <c r="G19" s="13" t="s">
        <v>32</v>
      </c>
      <c r="H19" s="13" t="s">
        <v>49</v>
      </c>
      <c r="I19" s="13" t="s">
        <v>50</v>
      </c>
    </row>
    <row r="20" s="9" customFormat="1" spans="1:9">
      <c r="A20" s="12">
        <v>19</v>
      </c>
      <c r="B20" s="9" t="s">
        <v>9</v>
      </c>
      <c r="C20" s="13" t="s">
        <v>10</v>
      </c>
      <c r="D20" s="13" t="s">
        <v>11</v>
      </c>
      <c r="E20" s="12">
        <v>2020</v>
      </c>
      <c r="F20" s="12" t="str">
        <f>IF(ISERROR(VLOOKUP(H20,[1]final!H:H,1,0)),"0","1")</f>
        <v>0</v>
      </c>
      <c r="G20" s="13" t="s">
        <v>51</v>
      </c>
      <c r="H20" s="13" t="s">
        <v>52</v>
      </c>
      <c r="I20" s="13" t="s">
        <v>53</v>
      </c>
    </row>
    <row r="21" s="9" customFormat="1" spans="1:9">
      <c r="A21" s="12">
        <v>20</v>
      </c>
      <c r="B21" s="9" t="s">
        <v>9</v>
      </c>
      <c r="C21" s="13" t="s">
        <v>10</v>
      </c>
      <c r="D21" s="13" t="s">
        <v>54</v>
      </c>
      <c r="E21" s="12">
        <v>2016</v>
      </c>
      <c r="F21" s="12" t="str">
        <f>IF(ISERROR(VLOOKUP(H21,[1]final!H:H,1,0)),"0","1")</f>
        <v>0</v>
      </c>
      <c r="G21" s="13" t="s">
        <v>55</v>
      </c>
      <c r="H21" s="13" t="s">
        <v>56</v>
      </c>
      <c r="I21" s="13" t="s">
        <v>57</v>
      </c>
    </row>
    <row r="22" s="9" customFormat="1" spans="1:9">
      <c r="A22" s="12">
        <v>21</v>
      </c>
      <c r="B22" s="9" t="s">
        <v>9</v>
      </c>
      <c r="C22" s="13" t="s">
        <v>10</v>
      </c>
      <c r="D22" s="13" t="s">
        <v>11</v>
      </c>
      <c r="E22" s="12">
        <v>2002</v>
      </c>
      <c r="F22" s="12" t="str">
        <f>IF(ISERROR(VLOOKUP(H22,[1]final!H:H,1,0)),"0","1")</f>
        <v>0</v>
      </c>
      <c r="G22" s="13" t="s">
        <v>32</v>
      </c>
      <c r="H22" s="13" t="s">
        <v>58</v>
      </c>
      <c r="I22" s="13" t="s">
        <v>59</v>
      </c>
    </row>
    <row r="23" s="9" customFormat="1" spans="1:9">
      <c r="A23" s="12">
        <v>22</v>
      </c>
      <c r="B23" s="9" t="s">
        <v>9</v>
      </c>
      <c r="C23" s="13" t="s">
        <v>10</v>
      </c>
      <c r="D23" s="13" t="s">
        <v>11</v>
      </c>
      <c r="E23" s="12">
        <v>2009</v>
      </c>
      <c r="F23" s="12" t="str">
        <f>IF(ISERROR(VLOOKUP(H23,[1]final!H:H,1,0)),"0","1")</f>
        <v>0</v>
      </c>
      <c r="G23" s="13" t="s">
        <v>32</v>
      </c>
      <c r="H23" s="13" t="s">
        <v>60</v>
      </c>
      <c r="I23" s="13" t="s">
        <v>61</v>
      </c>
    </row>
    <row r="24" s="9" customFormat="1" spans="1:9">
      <c r="A24" s="12">
        <v>23</v>
      </c>
      <c r="B24" s="9" t="s">
        <v>9</v>
      </c>
      <c r="C24" s="13" t="s">
        <v>10</v>
      </c>
      <c r="D24" s="13" t="s">
        <v>11</v>
      </c>
      <c r="E24" s="12">
        <v>1994</v>
      </c>
      <c r="F24" s="12" t="str">
        <f>IF(ISERROR(VLOOKUP(H24,[1]final!H:H,1,0)),"0","1")</f>
        <v>0</v>
      </c>
      <c r="G24" s="13" t="s">
        <v>32</v>
      </c>
      <c r="H24" s="13" t="s">
        <v>62</v>
      </c>
      <c r="I24" s="13" t="s">
        <v>63</v>
      </c>
    </row>
    <row r="25" s="9" customFormat="1" spans="1:9">
      <c r="A25" s="12">
        <v>24</v>
      </c>
      <c r="B25" s="9" t="s">
        <v>9</v>
      </c>
      <c r="C25" s="13" t="s">
        <v>10</v>
      </c>
      <c r="D25" s="13" t="s">
        <v>11</v>
      </c>
      <c r="E25" s="12">
        <v>2003</v>
      </c>
      <c r="F25" s="12" t="str">
        <f>IF(ISERROR(VLOOKUP(H25,[1]final!H:H,1,0)),"0","1")</f>
        <v>0</v>
      </c>
      <c r="G25" s="13" t="s">
        <v>32</v>
      </c>
      <c r="H25" s="13" t="s">
        <v>64</v>
      </c>
      <c r="I25" s="13" t="s">
        <v>65</v>
      </c>
    </row>
    <row r="26" s="9" customFormat="1" spans="1:9">
      <c r="A26" s="12">
        <v>25</v>
      </c>
      <c r="B26" s="9" t="s">
        <v>9</v>
      </c>
      <c r="C26" s="13" t="s">
        <v>10</v>
      </c>
      <c r="D26" s="13" t="s">
        <v>11</v>
      </c>
      <c r="E26" s="12">
        <v>2010</v>
      </c>
      <c r="F26" s="12" t="str">
        <f>IF(ISERROR(VLOOKUP(H26,[1]final!H:H,1,0)),"0","1")</f>
        <v>1</v>
      </c>
      <c r="G26" s="13"/>
      <c r="H26" s="13" t="s">
        <v>66</v>
      </c>
      <c r="I26" s="13" t="s">
        <v>67</v>
      </c>
    </row>
    <row r="27" s="9" customFormat="1" spans="1:9">
      <c r="A27" s="12">
        <v>26</v>
      </c>
      <c r="B27" s="9" t="s">
        <v>9</v>
      </c>
      <c r="C27" s="13" t="s">
        <v>10</v>
      </c>
      <c r="D27" s="13" t="s">
        <v>11</v>
      </c>
      <c r="E27" s="12">
        <v>2019</v>
      </c>
      <c r="F27" s="12" t="str">
        <f>IF(ISERROR(VLOOKUP(H27,[1]final!H:H,1,0)),"0","1")</f>
        <v>1</v>
      </c>
      <c r="G27" s="13"/>
      <c r="H27" s="13" t="s">
        <v>68</v>
      </c>
      <c r="I27" s="13" t="s">
        <v>69</v>
      </c>
    </row>
    <row r="28" s="9" customFormat="1" spans="1:9">
      <c r="A28" s="12">
        <v>27</v>
      </c>
      <c r="B28" s="9" t="s">
        <v>9</v>
      </c>
      <c r="C28" s="13" t="s">
        <v>10</v>
      </c>
      <c r="D28" s="13" t="s">
        <v>11</v>
      </c>
      <c r="E28" s="12">
        <v>2009</v>
      </c>
      <c r="F28" s="12" t="str">
        <f>IF(ISERROR(VLOOKUP(H28,[1]final!H:H,1,0)),"0","1")</f>
        <v>0</v>
      </c>
      <c r="G28" s="13" t="s">
        <v>32</v>
      </c>
      <c r="H28" s="13" t="s">
        <v>70</v>
      </c>
      <c r="I28" s="13" t="s">
        <v>71</v>
      </c>
    </row>
    <row r="29" s="9" customFormat="1" spans="1:9">
      <c r="A29" s="12">
        <v>28</v>
      </c>
      <c r="B29" s="9" t="s">
        <v>9</v>
      </c>
      <c r="C29" s="13" t="s">
        <v>10</v>
      </c>
      <c r="D29" s="13" t="s">
        <v>11</v>
      </c>
      <c r="E29" s="12">
        <v>2019</v>
      </c>
      <c r="F29" s="12" t="str">
        <f>IF(ISERROR(VLOOKUP(H29,[1]final!H:H,1,0)),"0","1")</f>
        <v>1</v>
      </c>
      <c r="G29" s="13"/>
      <c r="H29" s="13" t="s">
        <v>72</v>
      </c>
      <c r="I29" s="13" t="s">
        <v>73</v>
      </c>
    </row>
    <row r="30" s="9" customFormat="1" spans="1:9">
      <c r="A30" s="12">
        <v>29</v>
      </c>
      <c r="B30" s="9" t="s">
        <v>9</v>
      </c>
      <c r="C30" s="13" t="s">
        <v>10</v>
      </c>
      <c r="D30" s="13" t="s">
        <v>11</v>
      </c>
      <c r="E30" s="12">
        <v>2016</v>
      </c>
      <c r="F30" s="12" t="str">
        <f>IF(ISERROR(VLOOKUP(H30,[1]final!H:H,1,0)),"0","1")</f>
        <v>1</v>
      </c>
      <c r="G30" s="13"/>
      <c r="H30" s="13" t="s">
        <v>74</v>
      </c>
      <c r="I30" s="13" t="s">
        <v>75</v>
      </c>
    </row>
    <row r="31" s="9" customFormat="1" spans="1:9">
      <c r="A31" s="12">
        <v>30</v>
      </c>
      <c r="B31" s="9" t="s">
        <v>9</v>
      </c>
      <c r="C31" s="13" t="s">
        <v>10</v>
      </c>
      <c r="D31" s="13" t="s">
        <v>11</v>
      </c>
      <c r="E31" s="12">
        <v>2012</v>
      </c>
      <c r="F31" s="12" t="str">
        <f>IF(ISERROR(VLOOKUP(H31,[1]final!H:H,1,0)),"0","1")</f>
        <v>1</v>
      </c>
      <c r="G31" s="13"/>
      <c r="H31" s="13" t="s">
        <v>76</v>
      </c>
      <c r="I31" s="13" t="s">
        <v>77</v>
      </c>
    </row>
    <row r="32" s="9" customFormat="1" spans="1:9">
      <c r="A32" s="12">
        <v>31</v>
      </c>
      <c r="B32" s="9" t="s">
        <v>9</v>
      </c>
      <c r="C32" s="13" t="s">
        <v>10</v>
      </c>
      <c r="D32" s="13" t="s">
        <v>11</v>
      </c>
      <c r="E32" s="12">
        <v>2014</v>
      </c>
      <c r="F32" s="12" t="str">
        <f>IF(ISERROR(VLOOKUP(H32,[1]final!H:H,1,0)),"0","1")</f>
        <v>1</v>
      </c>
      <c r="G32" s="13"/>
      <c r="H32" s="13" t="s">
        <v>78</v>
      </c>
      <c r="I32" s="13" t="s">
        <v>79</v>
      </c>
    </row>
    <row r="33" s="9" customFormat="1" spans="1:9">
      <c r="A33" s="12">
        <v>32</v>
      </c>
      <c r="B33" s="9" t="s">
        <v>9</v>
      </c>
      <c r="C33" s="13" t="s">
        <v>10</v>
      </c>
      <c r="D33" s="13" t="s">
        <v>11</v>
      </c>
      <c r="E33" s="12">
        <v>2010</v>
      </c>
      <c r="F33" s="12" t="str">
        <f>IF(ISERROR(VLOOKUP(H33,[1]final!H:H,1,0)),"0","1")</f>
        <v>1</v>
      </c>
      <c r="G33" s="13"/>
      <c r="H33" s="13" t="s">
        <v>80</v>
      </c>
      <c r="I33" s="13" t="s">
        <v>81</v>
      </c>
    </row>
    <row r="34" s="9" customFormat="1" spans="1:9">
      <c r="A34" s="12">
        <v>33</v>
      </c>
      <c r="B34" s="9" t="s">
        <v>9</v>
      </c>
      <c r="C34" s="13" t="s">
        <v>10</v>
      </c>
      <c r="D34" s="13" t="s">
        <v>54</v>
      </c>
      <c r="E34" s="12">
        <v>2015</v>
      </c>
      <c r="F34" s="12" t="str">
        <f>IF(ISERROR(VLOOKUP(H34,[1]final!H:H,1,0)),"0","1")</f>
        <v>0</v>
      </c>
      <c r="G34" s="13" t="s">
        <v>16</v>
      </c>
      <c r="H34" s="13" t="s">
        <v>82</v>
      </c>
      <c r="I34" s="13" t="s">
        <v>83</v>
      </c>
    </row>
    <row r="35" s="9" customFormat="1" spans="1:9">
      <c r="A35" s="12">
        <v>34</v>
      </c>
      <c r="B35" s="9" t="s">
        <v>9</v>
      </c>
      <c r="C35" s="13" t="s">
        <v>10</v>
      </c>
      <c r="D35" s="13" t="s">
        <v>11</v>
      </c>
      <c r="E35" s="12">
        <v>2012</v>
      </c>
      <c r="F35" s="12" t="str">
        <f>IF(ISERROR(VLOOKUP(H35,[1]final!H:H,1,0)),"0","1")</f>
        <v>1</v>
      </c>
      <c r="G35" s="13"/>
      <c r="H35" s="13" t="s">
        <v>84</v>
      </c>
      <c r="I35" s="13" t="s">
        <v>85</v>
      </c>
    </row>
    <row r="36" s="9" customFormat="1" spans="1:9">
      <c r="A36" s="12">
        <v>35</v>
      </c>
      <c r="B36" s="9" t="s">
        <v>9</v>
      </c>
      <c r="C36" s="13" t="s">
        <v>10</v>
      </c>
      <c r="D36" s="13" t="s">
        <v>11</v>
      </c>
      <c r="E36" s="12">
        <v>2012</v>
      </c>
      <c r="F36" s="12" t="str">
        <f>IF(ISERROR(VLOOKUP(H36,[1]final!H:H,1,0)),"0","1")</f>
        <v>0</v>
      </c>
      <c r="G36" s="13" t="s">
        <v>86</v>
      </c>
      <c r="H36" s="13" t="s">
        <v>87</v>
      </c>
      <c r="I36" s="13" t="s">
        <v>88</v>
      </c>
    </row>
    <row r="37" s="9" customFormat="1" spans="1:9">
      <c r="A37" s="12">
        <v>36</v>
      </c>
      <c r="B37" s="9" t="s">
        <v>9</v>
      </c>
      <c r="C37" s="13" t="s">
        <v>10</v>
      </c>
      <c r="D37" s="13" t="s">
        <v>11</v>
      </c>
      <c r="E37" s="12">
        <v>2005</v>
      </c>
      <c r="F37" s="12" t="str">
        <f>IF(ISERROR(VLOOKUP(H37,[1]final!H:H,1,0)),"0","1")</f>
        <v>0</v>
      </c>
      <c r="G37" s="13" t="s">
        <v>32</v>
      </c>
      <c r="H37" s="13" t="s">
        <v>89</v>
      </c>
      <c r="I37" s="13" t="s">
        <v>90</v>
      </c>
    </row>
    <row r="38" s="9" customFormat="1" spans="1:9">
      <c r="A38" s="12">
        <v>37</v>
      </c>
      <c r="B38" s="9" t="s">
        <v>9</v>
      </c>
      <c r="C38" s="13" t="s">
        <v>10</v>
      </c>
      <c r="D38" s="13" t="s">
        <v>11</v>
      </c>
      <c r="E38" s="12">
        <v>2010</v>
      </c>
      <c r="F38" s="12" t="str">
        <f>IF(ISERROR(VLOOKUP(H38,[1]final!H:H,1,0)),"0","1")</f>
        <v>1</v>
      </c>
      <c r="G38" s="13"/>
      <c r="H38" s="13" t="s">
        <v>91</v>
      </c>
      <c r="I38" s="13" t="s">
        <v>92</v>
      </c>
    </row>
    <row r="39" s="9" customFormat="1" spans="1:9">
      <c r="A39" s="12">
        <v>38</v>
      </c>
      <c r="B39" s="9" t="s">
        <v>9</v>
      </c>
      <c r="C39" s="13" t="s">
        <v>10</v>
      </c>
      <c r="D39" s="13" t="s">
        <v>11</v>
      </c>
      <c r="E39" s="12">
        <v>2024</v>
      </c>
      <c r="F39" s="12" t="str">
        <f>IF(ISERROR(VLOOKUP(H39,[1]final!H:H,1,0)),"0","1")</f>
        <v>1</v>
      </c>
      <c r="G39" s="13"/>
      <c r="H39" s="13" t="s">
        <v>93</v>
      </c>
      <c r="I39" s="13" t="s">
        <v>94</v>
      </c>
    </row>
    <row r="40" s="9" customFormat="1" spans="1:9">
      <c r="A40" s="12">
        <v>39</v>
      </c>
      <c r="B40" s="9" t="s">
        <v>9</v>
      </c>
      <c r="C40" s="13" t="s">
        <v>10</v>
      </c>
      <c r="D40" s="13" t="s">
        <v>11</v>
      </c>
      <c r="E40" s="12">
        <v>2019</v>
      </c>
      <c r="F40" s="12" t="str">
        <f>IF(ISERROR(VLOOKUP(H40,[1]final!H:H,1,0)),"0","1")</f>
        <v>0</v>
      </c>
      <c r="G40" s="13" t="s">
        <v>16</v>
      </c>
      <c r="H40" s="13" t="s">
        <v>95</v>
      </c>
      <c r="I40" s="13" t="s">
        <v>96</v>
      </c>
    </row>
    <row r="41" s="9" customFormat="1" spans="1:9">
      <c r="A41" s="12">
        <v>40</v>
      </c>
      <c r="B41" s="9" t="s">
        <v>9</v>
      </c>
      <c r="C41" s="13" t="s">
        <v>10</v>
      </c>
      <c r="D41" s="13" t="s">
        <v>11</v>
      </c>
      <c r="E41" s="12">
        <v>2023</v>
      </c>
      <c r="F41" s="12" t="str">
        <f>IF(ISERROR(VLOOKUP(H41,[1]final!H:H,1,0)),"0","1")</f>
        <v>0</v>
      </c>
      <c r="G41" s="13" t="s">
        <v>86</v>
      </c>
      <c r="H41" s="13" t="s">
        <v>97</v>
      </c>
      <c r="I41" s="13" t="s">
        <v>98</v>
      </c>
    </row>
    <row r="42" s="9" customFormat="1" spans="1:9">
      <c r="A42" s="12">
        <v>41</v>
      </c>
      <c r="B42" s="9" t="s">
        <v>9</v>
      </c>
      <c r="C42" s="13" t="s">
        <v>10</v>
      </c>
      <c r="D42" s="13" t="s">
        <v>11</v>
      </c>
      <c r="E42" s="12">
        <v>2000</v>
      </c>
      <c r="F42" s="12" t="str">
        <f>IF(ISERROR(VLOOKUP(H42,[1]final!H:H,1,0)),"0","1")</f>
        <v>0</v>
      </c>
      <c r="G42" s="13" t="s">
        <v>32</v>
      </c>
      <c r="H42" s="13" t="s">
        <v>99</v>
      </c>
      <c r="I42" s="13" t="s">
        <v>100</v>
      </c>
    </row>
    <row r="43" s="9" customFormat="1" spans="1:9">
      <c r="A43" s="12">
        <v>42</v>
      </c>
      <c r="B43" s="9" t="s">
        <v>9</v>
      </c>
      <c r="C43" s="13" t="s">
        <v>10</v>
      </c>
      <c r="D43" s="13" t="s">
        <v>11</v>
      </c>
      <c r="E43" s="12">
        <v>2013</v>
      </c>
      <c r="F43" s="12" t="str">
        <f>IF(ISERROR(VLOOKUP(H43,[1]final!H:H,1,0)),"0","1")</f>
        <v>0</v>
      </c>
      <c r="G43" s="13" t="s">
        <v>55</v>
      </c>
      <c r="H43" s="13" t="s">
        <v>101</v>
      </c>
      <c r="I43" s="13" t="s">
        <v>102</v>
      </c>
    </row>
    <row r="44" s="9" customFormat="1" spans="1:9">
      <c r="A44" s="12">
        <v>43</v>
      </c>
      <c r="B44" s="9" t="s">
        <v>9</v>
      </c>
      <c r="C44" s="13" t="s">
        <v>10</v>
      </c>
      <c r="D44" s="13" t="s">
        <v>11</v>
      </c>
      <c r="E44" s="12">
        <v>2007</v>
      </c>
      <c r="F44" s="12" t="str">
        <f>IF(ISERROR(VLOOKUP(H44,[1]final!H:H,1,0)),"0","1")</f>
        <v>0</v>
      </c>
      <c r="G44" s="13" t="s">
        <v>32</v>
      </c>
      <c r="H44" s="13" t="s">
        <v>103</v>
      </c>
      <c r="I44" s="13" t="s">
        <v>104</v>
      </c>
    </row>
    <row r="45" s="9" customFormat="1" spans="1:9">
      <c r="A45" s="12">
        <v>44</v>
      </c>
      <c r="B45" s="9" t="s">
        <v>9</v>
      </c>
      <c r="C45" s="13" t="s">
        <v>10</v>
      </c>
      <c r="D45" s="13" t="s">
        <v>11</v>
      </c>
      <c r="E45" s="12">
        <v>2012</v>
      </c>
      <c r="F45" s="12" t="str">
        <f>IF(ISERROR(VLOOKUP(H45,[1]final!H:H,1,0)),"0","1")</f>
        <v>1</v>
      </c>
      <c r="G45" s="13"/>
      <c r="H45" s="13" t="s">
        <v>105</v>
      </c>
      <c r="I45" s="13" t="s">
        <v>106</v>
      </c>
    </row>
    <row r="46" s="9" customFormat="1" spans="1:9">
      <c r="A46" s="12">
        <v>45</v>
      </c>
      <c r="B46" s="9" t="s">
        <v>9</v>
      </c>
      <c r="C46" s="13" t="s">
        <v>10</v>
      </c>
      <c r="D46" s="13" t="s">
        <v>11</v>
      </c>
      <c r="E46" s="12">
        <v>2012</v>
      </c>
      <c r="F46" s="12" t="str">
        <f>IF(ISERROR(VLOOKUP(H46,[1]final!H:H,1,0)),"0","1")</f>
        <v>0</v>
      </c>
      <c r="G46" s="13" t="s">
        <v>16</v>
      </c>
      <c r="H46" s="13" t="s">
        <v>107</v>
      </c>
      <c r="I46" s="13" t="s">
        <v>108</v>
      </c>
    </row>
    <row r="47" s="9" customFormat="1" spans="1:9">
      <c r="A47" s="12">
        <v>46</v>
      </c>
      <c r="B47" s="9" t="s">
        <v>9</v>
      </c>
      <c r="C47" s="13" t="s">
        <v>10</v>
      </c>
      <c r="D47" s="13" t="s">
        <v>11</v>
      </c>
      <c r="E47" s="12">
        <v>2011</v>
      </c>
      <c r="F47" s="12" t="str">
        <f>IF(ISERROR(VLOOKUP(H47,[1]final!H:H,1,0)),"0","1")</f>
        <v>1</v>
      </c>
      <c r="G47" s="13"/>
      <c r="H47" s="13" t="s">
        <v>109</v>
      </c>
      <c r="I47" s="13" t="s">
        <v>110</v>
      </c>
    </row>
    <row r="48" s="9" customFormat="1" spans="1:9">
      <c r="A48" s="12">
        <v>47</v>
      </c>
      <c r="B48" s="9" t="s">
        <v>9</v>
      </c>
      <c r="C48" s="13" t="s">
        <v>10</v>
      </c>
      <c r="D48" s="13" t="s">
        <v>11</v>
      </c>
      <c r="E48" s="12">
        <v>2013</v>
      </c>
      <c r="F48" s="12" t="str">
        <f>IF(ISERROR(VLOOKUP(H48,[1]final!H:H,1,0)),"0","1")</f>
        <v>0</v>
      </c>
      <c r="G48" s="13" t="s">
        <v>16</v>
      </c>
      <c r="H48" s="13" t="s">
        <v>111</v>
      </c>
      <c r="I48" s="13" t="s">
        <v>112</v>
      </c>
    </row>
    <row r="49" s="9" customFormat="1" spans="1:9">
      <c r="A49" s="12">
        <v>48</v>
      </c>
      <c r="B49" s="9" t="s">
        <v>9</v>
      </c>
      <c r="C49" s="13" t="s">
        <v>10</v>
      </c>
      <c r="D49" s="13" t="s">
        <v>54</v>
      </c>
      <c r="E49" s="12">
        <v>2009</v>
      </c>
      <c r="F49" s="12" t="str">
        <f>IF(ISERROR(VLOOKUP(H49,[1]final!H:H,1,0)),"0","1")</f>
        <v>0</v>
      </c>
      <c r="G49" s="13" t="s">
        <v>32</v>
      </c>
      <c r="H49" s="13" t="s">
        <v>113</v>
      </c>
      <c r="I49" s="13" t="s">
        <v>114</v>
      </c>
    </row>
    <row r="50" s="9" customFormat="1" spans="1:9">
      <c r="A50" s="12">
        <v>49</v>
      </c>
      <c r="B50" s="9" t="s">
        <v>9</v>
      </c>
      <c r="C50" s="13" t="s">
        <v>10</v>
      </c>
      <c r="D50" s="13" t="s">
        <v>54</v>
      </c>
      <c r="E50" s="12">
        <v>2017</v>
      </c>
      <c r="F50" s="12" t="str">
        <f>IF(ISERROR(VLOOKUP(H50,[1]final!H:H,1,0)),"0","1")</f>
        <v>0</v>
      </c>
      <c r="G50" s="13" t="s">
        <v>16</v>
      </c>
      <c r="H50" s="13" t="s">
        <v>115</v>
      </c>
      <c r="I50" s="13" t="s">
        <v>116</v>
      </c>
    </row>
    <row r="51" s="9" customFormat="1" spans="1:9">
      <c r="A51" s="12">
        <v>50</v>
      </c>
      <c r="B51" s="9" t="s">
        <v>9</v>
      </c>
      <c r="C51" s="13" t="s">
        <v>10</v>
      </c>
      <c r="D51" s="13" t="s">
        <v>11</v>
      </c>
      <c r="E51" s="12">
        <v>2008</v>
      </c>
      <c r="F51" s="12" t="str">
        <f>IF(ISERROR(VLOOKUP(H51,[1]final!H:H,1,0)),"0","1")</f>
        <v>0</v>
      </c>
      <c r="G51" s="13" t="s">
        <v>32</v>
      </c>
      <c r="H51" s="13" t="s">
        <v>117</v>
      </c>
      <c r="I51" s="13" t="s">
        <v>118</v>
      </c>
    </row>
    <row r="52" s="9" customFormat="1" spans="1:9">
      <c r="A52" s="12">
        <v>51</v>
      </c>
      <c r="B52" s="9" t="s">
        <v>9</v>
      </c>
      <c r="C52" s="13" t="s">
        <v>10</v>
      </c>
      <c r="D52" s="13" t="s">
        <v>11</v>
      </c>
      <c r="E52" s="12">
        <v>2001</v>
      </c>
      <c r="F52" s="12" t="str">
        <f>IF(ISERROR(VLOOKUP(H52,[1]final!H:H,1,0)),"0","1")</f>
        <v>0</v>
      </c>
      <c r="G52" s="13" t="s">
        <v>32</v>
      </c>
      <c r="H52" s="13" t="s">
        <v>119</v>
      </c>
      <c r="I52" s="13" t="s">
        <v>120</v>
      </c>
    </row>
    <row r="53" s="9" customFormat="1" spans="1:9">
      <c r="A53" s="12">
        <v>52</v>
      </c>
      <c r="B53" s="9" t="s">
        <v>9</v>
      </c>
      <c r="C53" s="13" t="s">
        <v>10</v>
      </c>
      <c r="D53" s="13" t="s">
        <v>121</v>
      </c>
      <c r="E53" s="12">
        <v>1993</v>
      </c>
      <c r="F53" s="12" t="str">
        <f>IF(ISERROR(VLOOKUP(H53,[1]final!H:H,1,0)),"0","1")</f>
        <v>0</v>
      </c>
      <c r="G53" s="13" t="s">
        <v>32</v>
      </c>
      <c r="H53" s="13" t="s">
        <v>122</v>
      </c>
      <c r="I53" s="13" t="s">
        <v>123</v>
      </c>
    </row>
    <row r="54" s="9" customFormat="1" spans="1:9">
      <c r="A54" s="12">
        <v>53</v>
      </c>
      <c r="B54" s="9" t="s">
        <v>9</v>
      </c>
      <c r="C54" s="13" t="s">
        <v>10</v>
      </c>
      <c r="D54" s="13" t="s">
        <v>11</v>
      </c>
      <c r="E54" s="12">
        <v>2010</v>
      </c>
      <c r="F54" s="12" t="str">
        <f>IF(ISERROR(VLOOKUP(H54,[1]final!H:H,1,0)),"0","1")</f>
        <v>1</v>
      </c>
      <c r="G54" s="13"/>
      <c r="H54" s="13" t="s">
        <v>124</v>
      </c>
      <c r="I54" s="13" t="s">
        <v>125</v>
      </c>
    </row>
    <row r="55" s="9" customFormat="1" spans="1:9">
      <c r="A55" s="12">
        <v>54</v>
      </c>
      <c r="B55" s="9" t="s">
        <v>9</v>
      </c>
      <c r="C55" s="13" t="s">
        <v>10</v>
      </c>
      <c r="D55" s="13" t="s">
        <v>11</v>
      </c>
      <c r="E55" s="12">
        <v>2019</v>
      </c>
      <c r="F55" s="12" t="str">
        <f>IF(ISERROR(VLOOKUP(H55,[1]final!H:H,1,0)),"0","1")</f>
        <v>1</v>
      </c>
      <c r="G55" s="13"/>
      <c r="H55" s="13" t="s">
        <v>126</v>
      </c>
      <c r="I55" s="13" t="s">
        <v>127</v>
      </c>
    </row>
    <row r="56" s="9" customFormat="1" spans="1:9">
      <c r="A56" s="12">
        <v>55</v>
      </c>
      <c r="B56" s="9" t="s">
        <v>9</v>
      </c>
      <c r="C56" s="13" t="s">
        <v>10</v>
      </c>
      <c r="D56" s="13" t="s">
        <v>11</v>
      </c>
      <c r="E56" s="12">
        <v>2022</v>
      </c>
      <c r="F56" s="12" t="str">
        <f>IF(ISERROR(VLOOKUP(H56,[1]final!H:H,1,0)),"0","1")</f>
        <v>1</v>
      </c>
      <c r="G56" s="13"/>
      <c r="H56" s="13" t="s">
        <v>128</v>
      </c>
      <c r="I56" s="13" t="s">
        <v>129</v>
      </c>
    </row>
    <row r="57" s="9" customFormat="1" spans="1:9">
      <c r="A57" s="12">
        <v>56</v>
      </c>
      <c r="B57" s="9" t="s">
        <v>9</v>
      </c>
      <c r="C57" s="13" t="s">
        <v>10</v>
      </c>
      <c r="D57" s="13" t="s">
        <v>11</v>
      </c>
      <c r="E57" s="12">
        <v>2016</v>
      </c>
      <c r="F57" s="12" t="str">
        <f>IF(ISERROR(VLOOKUP(H57,[1]final!H:H,1,0)),"0","1")</f>
        <v>0</v>
      </c>
      <c r="G57" s="13" t="s">
        <v>16</v>
      </c>
      <c r="H57" s="13" t="s">
        <v>130</v>
      </c>
      <c r="I57" s="13" t="s">
        <v>131</v>
      </c>
    </row>
    <row r="58" s="9" customFormat="1" spans="1:9">
      <c r="A58" s="12">
        <v>57</v>
      </c>
      <c r="B58" s="9" t="s">
        <v>9</v>
      </c>
      <c r="C58" s="13" t="s">
        <v>10</v>
      </c>
      <c r="D58" s="13" t="s">
        <v>11</v>
      </c>
      <c r="E58" s="12">
        <v>2020</v>
      </c>
      <c r="F58" s="12" t="str">
        <f>IF(ISERROR(VLOOKUP(H58,[1]final!H:H,1,0)),"0","1")</f>
        <v>0</v>
      </c>
      <c r="G58" s="13" t="s">
        <v>16</v>
      </c>
      <c r="H58" s="13" t="s">
        <v>132</v>
      </c>
      <c r="I58" s="13" t="s">
        <v>133</v>
      </c>
    </row>
    <row r="59" s="9" customFormat="1" spans="1:9">
      <c r="A59" s="12">
        <v>58</v>
      </c>
      <c r="B59" s="9" t="s">
        <v>9</v>
      </c>
      <c r="C59" s="13" t="s">
        <v>10</v>
      </c>
      <c r="D59" s="13" t="s">
        <v>11</v>
      </c>
      <c r="E59" s="12">
        <v>2017</v>
      </c>
      <c r="F59" s="12" t="str">
        <f>IF(ISERROR(VLOOKUP(H59,[1]final!H:H,1,0)),"0","1")</f>
        <v>0</v>
      </c>
      <c r="G59" s="13" t="s">
        <v>16</v>
      </c>
      <c r="H59" s="13" t="s">
        <v>134</v>
      </c>
      <c r="I59" s="13" t="s">
        <v>135</v>
      </c>
    </row>
    <row r="60" s="9" customFormat="1" spans="1:9">
      <c r="A60" s="12">
        <v>59</v>
      </c>
      <c r="B60" s="9" t="s">
        <v>9</v>
      </c>
      <c r="C60" s="13" t="s">
        <v>10</v>
      </c>
      <c r="D60" s="13" t="s">
        <v>11</v>
      </c>
      <c r="E60" s="12">
        <v>2013</v>
      </c>
      <c r="F60" s="12" t="str">
        <f>IF(ISERROR(VLOOKUP(H60,[1]final!H:H,1,0)),"0","1")</f>
        <v>0</v>
      </c>
      <c r="G60" s="13" t="s">
        <v>86</v>
      </c>
      <c r="H60" s="13" t="s">
        <v>136</v>
      </c>
      <c r="I60" s="13" t="s">
        <v>137</v>
      </c>
    </row>
    <row r="61" s="9" customFormat="1" spans="1:9">
      <c r="A61" s="12">
        <v>60</v>
      </c>
      <c r="B61" s="9" t="s">
        <v>9</v>
      </c>
      <c r="C61" s="13" t="s">
        <v>10</v>
      </c>
      <c r="D61" s="13" t="s">
        <v>11</v>
      </c>
      <c r="E61" s="12">
        <v>2010</v>
      </c>
      <c r="F61" s="12" t="str">
        <f>IF(ISERROR(VLOOKUP(H61,[1]final!H:H,1,0)),"0","1")</f>
        <v>0</v>
      </c>
      <c r="G61" s="9" t="s">
        <v>16</v>
      </c>
      <c r="H61" s="13" t="s">
        <v>138</v>
      </c>
      <c r="I61" s="13" t="s">
        <v>139</v>
      </c>
    </row>
    <row r="62" s="9" customFormat="1" spans="1:9">
      <c r="A62" s="12">
        <v>61</v>
      </c>
      <c r="B62" s="9" t="s">
        <v>9</v>
      </c>
      <c r="C62" s="13" t="s">
        <v>10</v>
      </c>
      <c r="D62" s="13" t="s">
        <v>11</v>
      </c>
      <c r="E62" s="12">
        <v>1994</v>
      </c>
      <c r="F62" s="12" t="str">
        <f>IF(ISERROR(VLOOKUP(H62,[1]final!H:H,1,0)),"0","1")</f>
        <v>0</v>
      </c>
      <c r="G62" s="13" t="s">
        <v>32</v>
      </c>
      <c r="H62" s="13" t="s">
        <v>140</v>
      </c>
      <c r="I62" s="13" t="s">
        <v>141</v>
      </c>
    </row>
    <row r="63" s="9" customFormat="1" spans="1:9">
      <c r="A63" s="12">
        <v>62</v>
      </c>
      <c r="B63" s="9" t="s">
        <v>9</v>
      </c>
      <c r="C63" s="13" t="s">
        <v>10</v>
      </c>
      <c r="D63" s="13" t="s">
        <v>11</v>
      </c>
      <c r="E63" s="12">
        <v>2009</v>
      </c>
      <c r="F63" s="12" t="str">
        <f>IF(ISERROR(VLOOKUP(H63,[1]final!H:H,1,0)),"0","1")</f>
        <v>0</v>
      </c>
      <c r="G63" s="13" t="s">
        <v>32</v>
      </c>
      <c r="H63" s="13" t="s">
        <v>142</v>
      </c>
      <c r="I63" s="13" t="s">
        <v>143</v>
      </c>
    </row>
    <row r="64" s="9" customFormat="1" spans="1:9">
      <c r="A64" s="12">
        <v>63</v>
      </c>
      <c r="B64" s="9" t="s">
        <v>9</v>
      </c>
      <c r="C64" s="13" t="s">
        <v>10</v>
      </c>
      <c r="D64" s="13" t="s">
        <v>11</v>
      </c>
      <c r="E64" s="12">
        <v>2003</v>
      </c>
      <c r="F64" s="12" t="str">
        <f>IF(ISERROR(VLOOKUP(H64,[1]final!H:H,1,0)),"0","1")</f>
        <v>0</v>
      </c>
      <c r="G64" s="13" t="s">
        <v>32</v>
      </c>
      <c r="H64" s="13" t="s">
        <v>144</v>
      </c>
      <c r="I64" s="13" t="s">
        <v>145</v>
      </c>
    </row>
    <row r="65" s="9" customFormat="1" spans="1:9">
      <c r="A65" s="12">
        <v>64</v>
      </c>
      <c r="B65" s="9" t="s">
        <v>9</v>
      </c>
      <c r="C65" s="13" t="s">
        <v>10</v>
      </c>
      <c r="D65" s="13" t="s">
        <v>11</v>
      </c>
      <c r="E65" s="12">
        <v>2013</v>
      </c>
      <c r="F65" s="12" t="str">
        <f>IF(ISERROR(VLOOKUP(H65,[1]final!H:H,1,0)),"0","1")</f>
        <v>0</v>
      </c>
      <c r="G65" s="9" t="s">
        <v>16</v>
      </c>
      <c r="H65" s="13" t="s">
        <v>146</v>
      </c>
      <c r="I65" s="13" t="s">
        <v>147</v>
      </c>
    </row>
    <row r="66" s="9" customFormat="1" spans="1:9">
      <c r="A66" s="12">
        <v>65</v>
      </c>
      <c r="B66" s="9" t="s">
        <v>9</v>
      </c>
      <c r="C66" s="13" t="s">
        <v>10</v>
      </c>
      <c r="D66" s="13" t="s">
        <v>11</v>
      </c>
      <c r="E66" s="12">
        <v>2014</v>
      </c>
      <c r="F66" s="12" t="str">
        <f>IF(ISERROR(VLOOKUP(H66,[1]final!H:H,1,0)),"0","1")</f>
        <v>0</v>
      </c>
      <c r="G66" s="13" t="s">
        <v>51</v>
      </c>
      <c r="H66" s="13" t="s">
        <v>148</v>
      </c>
      <c r="I66" s="13" t="s">
        <v>149</v>
      </c>
    </row>
    <row r="67" s="9" customFormat="1" spans="1:9">
      <c r="A67" s="12">
        <v>66</v>
      </c>
      <c r="B67" s="9" t="s">
        <v>9</v>
      </c>
      <c r="C67" s="13" t="s">
        <v>10</v>
      </c>
      <c r="D67" s="13" t="s">
        <v>11</v>
      </c>
      <c r="E67" s="12">
        <v>2006</v>
      </c>
      <c r="F67" s="12" t="str">
        <f>IF(ISERROR(VLOOKUP(H67,[1]final!H:H,1,0)),"0","1")</f>
        <v>0</v>
      </c>
      <c r="G67" s="13" t="s">
        <v>32</v>
      </c>
      <c r="H67" s="13" t="s">
        <v>150</v>
      </c>
      <c r="I67" s="13" t="s">
        <v>151</v>
      </c>
    </row>
    <row r="68" s="9" customFormat="1" spans="1:9">
      <c r="A68" s="12">
        <v>67</v>
      </c>
      <c r="B68" s="9" t="s">
        <v>9</v>
      </c>
      <c r="C68" s="13" t="s">
        <v>10</v>
      </c>
      <c r="D68" s="13" t="s">
        <v>11</v>
      </c>
      <c r="E68" s="12">
        <v>2008</v>
      </c>
      <c r="F68" s="12" t="str">
        <f>IF(ISERROR(VLOOKUP(H68,[1]final!H:H,1,0)),"0","1")</f>
        <v>0</v>
      </c>
      <c r="G68" s="13" t="s">
        <v>32</v>
      </c>
      <c r="H68" s="13" t="s">
        <v>152</v>
      </c>
      <c r="I68" s="13" t="s">
        <v>153</v>
      </c>
    </row>
    <row r="69" s="9" customFormat="1" spans="1:9">
      <c r="A69" s="12">
        <v>68</v>
      </c>
      <c r="B69" s="9" t="s">
        <v>9</v>
      </c>
      <c r="C69" s="13" t="s">
        <v>10</v>
      </c>
      <c r="D69" s="13" t="s">
        <v>11</v>
      </c>
      <c r="E69" s="12">
        <v>2008</v>
      </c>
      <c r="F69" s="12" t="str">
        <f>IF(ISERROR(VLOOKUP(H69,[1]final!H:H,1,0)),"0","1")</f>
        <v>0</v>
      </c>
      <c r="G69" s="13" t="s">
        <v>32</v>
      </c>
      <c r="H69" s="13" t="s">
        <v>154</v>
      </c>
      <c r="I69" s="13" t="s">
        <v>155</v>
      </c>
    </row>
    <row r="70" s="9" customFormat="1" spans="1:9">
      <c r="A70" s="12">
        <v>69</v>
      </c>
      <c r="B70" s="9" t="s">
        <v>9</v>
      </c>
      <c r="C70" s="13" t="s">
        <v>10</v>
      </c>
      <c r="D70" s="13" t="s">
        <v>11</v>
      </c>
      <c r="E70" s="12">
        <v>2011</v>
      </c>
      <c r="F70" s="12" t="str">
        <f>IF(ISERROR(VLOOKUP(H70,[1]final!H:H,1,0)),"0","1")</f>
        <v>0</v>
      </c>
      <c r="G70" s="13" t="s">
        <v>55</v>
      </c>
      <c r="H70" s="13" t="s">
        <v>156</v>
      </c>
      <c r="I70" s="13" t="s">
        <v>157</v>
      </c>
    </row>
    <row r="71" s="9" customFormat="1" spans="1:9">
      <c r="A71" s="12">
        <v>70</v>
      </c>
      <c r="B71" s="9" t="s">
        <v>9</v>
      </c>
      <c r="C71" s="13" t="s">
        <v>10</v>
      </c>
      <c r="D71" s="13" t="s">
        <v>11</v>
      </c>
      <c r="E71" s="12">
        <v>2013</v>
      </c>
      <c r="F71" s="12" t="str">
        <f>IF(ISERROR(VLOOKUP(H71,[1]final!H:H,1,0)),"0","1")</f>
        <v>1</v>
      </c>
      <c r="G71" s="13"/>
      <c r="H71" s="13" t="s">
        <v>158</v>
      </c>
      <c r="I71" s="13" t="s">
        <v>159</v>
      </c>
    </row>
    <row r="72" s="9" customFormat="1" spans="1:9">
      <c r="A72" s="12">
        <v>71</v>
      </c>
      <c r="B72" s="9" t="s">
        <v>9</v>
      </c>
      <c r="C72" s="13" t="s">
        <v>10</v>
      </c>
      <c r="D72" s="13" t="s">
        <v>11</v>
      </c>
      <c r="E72" s="12">
        <v>2006</v>
      </c>
      <c r="F72" s="12" t="str">
        <f>IF(ISERROR(VLOOKUP(H72,[1]final!H:H,1,0)),"0","1")</f>
        <v>0</v>
      </c>
      <c r="G72" s="13" t="s">
        <v>32</v>
      </c>
      <c r="H72" s="13" t="s">
        <v>160</v>
      </c>
      <c r="I72" s="13"/>
    </row>
    <row r="73" s="9" customFormat="1" spans="1:9">
      <c r="A73" s="12">
        <v>72</v>
      </c>
      <c r="B73" s="9" t="s">
        <v>9</v>
      </c>
      <c r="C73" s="13" t="s">
        <v>10</v>
      </c>
      <c r="D73" s="13" t="s">
        <v>11</v>
      </c>
      <c r="E73" s="12">
        <v>2004</v>
      </c>
      <c r="F73" s="12" t="str">
        <f>IF(ISERROR(VLOOKUP(H73,[1]final!H:H,1,0)),"0","1")</f>
        <v>0</v>
      </c>
      <c r="G73" s="13" t="s">
        <v>32</v>
      </c>
      <c r="H73" s="13" t="s">
        <v>161</v>
      </c>
      <c r="I73" s="13" t="s">
        <v>162</v>
      </c>
    </row>
    <row r="74" s="9" customFormat="1" spans="1:9">
      <c r="A74" s="12">
        <v>73</v>
      </c>
      <c r="B74" s="9" t="s">
        <v>9</v>
      </c>
      <c r="C74" s="13" t="s">
        <v>10</v>
      </c>
      <c r="D74" s="13" t="s">
        <v>11</v>
      </c>
      <c r="E74" s="12">
        <v>2017</v>
      </c>
      <c r="F74" s="12" t="str">
        <f>IF(ISERROR(VLOOKUP(H74,[1]final!H:H,1,0)),"0","1")</f>
        <v>1</v>
      </c>
      <c r="G74" s="13"/>
      <c r="H74" s="13" t="s">
        <v>163</v>
      </c>
      <c r="I74" s="13" t="s">
        <v>164</v>
      </c>
    </row>
    <row r="75" s="9" customFormat="1" spans="1:9">
      <c r="A75" s="12">
        <v>74</v>
      </c>
      <c r="B75" s="9" t="s">
        <v>9</v>
      </c>
      <c r="C75" s="13" t="s">
        <v>10</v>
      </c>
      <c r="D75" s="13" t="s">
        <v>11</v>
      </c>
      <c r="E75" s="12">
        <v>2006</v>
      </c>
      <c r="F75" s="12" t="str">
        <f>IF(ISERROR(VLOOKUP(H75,[1]final!H:H,1,0)),"0","1")</f>
        <v>0</v>
      </c>
      <c r="G75" s="13" t="s">
        <v>32</v>
      </c>
      <c r="H75" s="13" t="s">
        <v>165</v>
      </c>
      <c r="I75" s="13" t="s">
        <v>166</v>
      </c>
    </row>
    <row r="76" s="9" customFormat="1" spans="1:9">
      <c r="A76" s="12">
        <v>75</v>
      </c>
      <c r="B76" s="9" t="s">
        <v>9</v>
      </c>
      <c r="C76" s="13" t="s">
        <v>10</v>
      </c>
      <c r="D76" s="13" t="s">
        <v>11</v>
      </c>
      <c r="E76" s="12">
        <v>2006</v>
      </c>
      <c r="F76" s="12" t="str">
        <f>IF(ISERROR(VLOOKUP(H76,[1]final!H:H,1,0)),"0","1")</f>
        <v>0</v>
      </c>
      <c r="G76" s="13" t="s">
        <v>32</v>
      </c>
      <c r="H76" s="13" t="s">
        <v>167</v>
      </c>
      <c r="I76" s="13" t="s">
        <v>168</v>
      </c>
    </row>
    <row r="77" s="9" customFormat="1" spans="1:9">
      <c r="A77" s="12">
        <v>76</v>
      </c>
      <c r="B77" s="9" t="s">
        <v>9</v>
      </c>
      <c r="C77" s="13" t="s">
        <v>10</v>
      </c>
      <c r="D77" s="13" t="s">
        <v>11</v>
      </c>
      <c r="E77" s="12">
        <v>1978</v>
      </c>
      <c r="F77" s="12" t="str">
        <f>IF(ISERROR(VLOOKUP(H77,[1]final!H:H,1,0)),"0","1")</f>
        <v>0</v>
      </c>
      <c r="G77" s="13" t="s">
        <v>32</v>
      </c>
      <c r="H77" s="13" t="s">
        <v>169</v>
      </c>
      <c r="I77" s="13" t="s">
        <v>170</v>
      </c>
    </row>
    <row r="78" s="9" customFormat="1" spans="1:9">
      <c r="A78" s="12">
        <v>77</v>
      </c>
      <c r="B78" s="9" t="s">
        <v>9</v>
      </c>
      <c r="C78" s="13" t="s">
        <v>10</v>
      </c>
      <c r="D78" s="13" t="s">
        <v>11</v>
      </c>
      <c r="E78" s="12">
        <v>2011</v>
      </c>
      <c r="F78" s="12" t="str">
        <f>IF(ISERROR(VLOOKUP(H78,[1]final!H:H,1,0)),"0","1")</f>
        <v>1</v>
      </c>
      <c r="G78" s="13"/>
      <c r="H78" s="13" t="s">
        <v>171</v>
      </c>
      <c r="I78" s="13" t="s">
        <v>172</v>
      </c>
    </row>
    <row r="79" s="9" customFormat="1" spans="1:9">
      <c r="A79" s="12">
        <v>78</v>
      </c>
      <c r="B79" s="9" t="s">
        <v>9</v>
      </c>
      <c r="C79" s="13" t="s">
        <v>10</v>
      </c>
      <c r="D79" s="13" t="s">
        <v>11</v>
      </c>
      <c r="E79" s="12">
        <v>2014</v>
      </c>
      <c r="F79" s="12" t="str">
        <f>IF(ISERROR(VLOOKUP(H79,[1]final!H:H,1,0)),"0","1")</f>
        <v>1</v>
      </c>
      <c r="G79" s="13"/>
      <c r="H79" s="13" t="s">
        <v>173</v>
      </c>
      <c r="I79" s="13" t="s">
        <v>174</v>
      </c>
    </row>
    <row r="80" s="9" customFormat="1" spans="1:9">
      <c r="A80" s="12">
        <v>79</v>
      </c>
      <c r="B80" s="9" t="s">
        <v>9</v>
      </c>
      <c r="C80" s="13" t="s">
        <v>10</v>
      </c>
      <c r="D80" s="13" t="s">
        <v>11</v>
      </c>
      <c r="E80" s="12">
        <v>2019</v>
      </c>
      <c r="F80" s="12" t="str">
        <f>IF(ISERROR(VLOOKUP(H80,[1]final!H:H,1,0)),"0","1")</f>
        <v>0</v>
      </c>
      <c r="G80" s="13" t="s">
        <v>16</v>
      </c>
      <c r="H80" s="13" t="s">
        <v>175</v>
      </c>
      <c r="I80" s="13" t="s">
        <v>176</v>
      </c>
    </row>
    <row r="81" s="9" customFormat="1" spans="1:9">
      <c r="A81" s="12">
        <v>80</v>
      </c>
      <c r="B81" s="9" t="s">
        <v>9</v>
      </c>
      <c r="C81" s="13" t="s">
        <v>10</v>
      </c>
      <c r="D81" s="13" t="s">
        <v>11</v>
      </c>
      <c r="E81" s="12">
        <v>2009</v>
      </c>
      <c r="F81" s="12" t="str">
        <f>IF(ISERROR(VLOOKUP(H81,[1]final!H:H,1,0)),"0","1")</f>
        <v>0</v>
      </c>
      <c r="G81" s="13" t="s">
        <v>32</v>
      </c>
      <c r="H81" s="13" t="s">
        <v>177</v>
      </c>
      <c r="I81" s="13" t="s">
        <v>178</v>
      </c>
    </row>
    <row r="82" s="9" customFormat="1" spans="1:9">
      <c r="A82" s="12">
        <v>81</v>
      </c>
      <c r="B82" s="9" t="s">
        <v>9</v>
      </c>
      <c r="C82" s="13" t="s">
        <v>10</v>
      </c>
      <c r="D82" s="13" t="s">
        <v>11</v>
      </c>
      <c r="E82" s="12">
        <v>2012</v>
      </c>
      <c r="F82" s="12" t="str">
        <f>IF(ISERROR(VLOOKUP(H82,[1]final!H:H,1,0)),"0","1")</f>
        <v>1</v>
      </c>
      <c r="G82" s="13"/>
      <c r="H82" s="13" t="s">
        <v>179</v>
      </c>
      <c r="I82" s="13" t="s">
        <v>180</v>
      </c>
    </row>
    <row r="83" s="9" customFormat="1" spans="1:9">
      <c r="A83" s="12">
        <v>82</v>
      </c>
      <c r="B83" s="9" t="s">
        <v>9</v>
      </c>
      <c r="C83" s="13" t="s">
        <v>10</v>
      </c>
      <c r="D83" s="13" t="s">
        <v>11</v>
      </c>
      <c r="E83" s="12">
        <v>2006</v>
      </c>
      <c r="F83" s="12" t="str">
        <f>IF(ISERROR(VLOOKUP(H83,[1]final!H:H,1,0)),"0","1")</f>
        <v>0</v>
      </c>
      <c r="G83" s="13" t="s">
        <v>32</v>
      </c>
      <c r="H83" s="13" t="s">
        <v>181</v>
      </c>
      <c r="I83" s="13" t="s">
        <v>182</v>
      </c>
    </row>
    <row r="84" s="9" customFormat="1" spans="1:9">
      <c r="A84" s="12">
        <v>83</v>
      </c>
      <c r="B84" s="9" t="s">
        <v>9</v>
      </c>
      <c r="C84" s="13" t="s">
        <v>10</v>
      </c>
      <c r="D84" s="13" t="s">
        <v>11</v>
      </c>
      <c r="E84" s="12">
        <v>2016</v>
      </c>
      <c r="F84" s="12" t="str">
        <f>IF(ISERROR(VLOOKUP(H84,[1]final!H:H,1,0)),"0","1")</f>
        <v>0</v>
      </c>
      <c r="G84" s="13" t="s">
        <v>16</v>
      </c>
      <c r="H84" s="13" t="s">
        <v>183</v>
      </c>
      <c r="I84" s="13" t="s">
        <v>184</v>
      </c>
    </row>
    <row r="85" s="9" customFormat="1" spans="1:9">
      <c r="A85" s="12">
        <v>84</v>
      </c>
      <c r="B85" s="9" t="s">
        <v>9</v>
      </c>
      <c r="C85" s="13" t="s">
        <v>10</v>
      </c>
      <c r="D85" s="13" t="s">
        <v>11</v>
      </c>
      <c r="E85" s="12">
        <v>2000</v>
      </c>
      <c r="F85" s="12" t="str">
        <f>IF(ISERROR(VLOOKUP(H85,[1]final!H:H,1,0)),"0","1")</f>
        <v>0</v>
      </c>
      <c r="G85" s="13" t="s">
        <v>32</v>
      </c>
      <c r="H85" s="13" t="s">
        <v>185</v>
      </c>
      <c r="I85" s="13" t="s">
        <v>186</v>
      </c>
    </row>
    <row r="86" s="9" customFormat="1" spans="1:9">
      <c r="A86" s="12">
        <v>85</v>
      </c>
      <c r="B86" s="9" t="s">
        <v>9</v>
      </c>
      <c r="C86" s="13" t="s">
        <v>10</v>
      </c>
      <c r="D86" s="13" t="s">
        <v>11</v>
      </c>
      <c r="E86" s="12">
        <v>2018</v>
      </c>
      <c r="F86" s="12" t="str">
        <f>IF(ISERROR(VLOOKUP(H86,[1]final!H:H,1,0)),"0","1")</f>
        <v>0</v>
      </c>
      <c r="G86" s="13" t="s">
        <v>16</v>
      </c>
      <c r="H86" s="13" t="s">
        <v>187</v>
      </c>
      <c r="I86" s="13" t="s">
        <v>188</v>
      </c>
    </row>
    <row r="87" s="9" customFormat="1" spans="1:9">
      <c r="A87" s="12">
        <v>86</v>
      </c>
      <c r="B87" s="9" t="s">
        <v>9</v>
      </c>
      <c r="C87" s="13" t="s">
        <v>10</v>
      </c>
      <c r="D87" s="13" t="s">
        <v>11</v>
      </c>
      <c r="E87" s="12">
        <v>2012</v>
      </c>
      <c r="F87" s="12" t="str">
        <f>IF(ISERROR(VLOOKUP(H87,[1]final!H:H,1,0)),"0","1")</f>
        <v>0</v>
      </c>
      <c r="G87" s="13" t="s">
        <v>16</v>
      </c>
      <c r="H87" s="13" t="s">
        <v>189</v>
      </c>
      <c r="I87" s="13" t="s">
        <v>190</v>
      </c>
    </row>
    <row r="88" s="9" customFormat="1" spans="1:9">
      <c r="A88" s="12">
        <v>87</v>
      </c>
      <c r="B88" s="9" t="s">
        <v>9</v>
      </c>
      <c r="C88" s="13" t="s">
        <v>10</v>
      </c>
      <c r="D88" s="13" t="s">
        <v>11</v>
      </c>
      <c r="E88" s="12">
        <v>2012</v>
      </c>
      <c r="F88" s="12" t="str">
        <f>IF(ISERROR(VLOOKUP(H88,[1]final!H:H,1,0)),"0","1")</f>
        <v>1</v>
      </c>
      <c r="G88" s="13"/>
      <c r="H88" s="13" t="s">
        <v>191</v>
      </c>
      <c r="I88" s="13" t="s">
        <v>192</v>
      </c>
    </row>
    <row r="89" s="9" customFormat="1" spans="1:9">
      <c r="A89" s="12">
        <v>88</v>
      </c>
      <c r="B89" s="9" t="s">
        <v>9</v>
      </c>
      <c r="C89" s="13" t="s">
        <v>10</v>
      </c>
      <c r="D89" s="13" t="s">
        <v>11</v>
      </c>
      <c r="E89" s="12">
        <v>2008</v>
      </c>
      <c r="F89" s="12" t="str">
        <f>IF(ISERROR(VLOOKUP(H89,[1]final!H:H,1,0)),"0","1")</f>
        <v>0</v>
      </c>
      <c r="G89" s="13" t="s">
        <v>32</v>
      </c>
      <c r="H89" s="13" t="s">
        <v>193</v>
      </c>
      <c r="I89" s="13" t="s">
        <v>194</v>
      </c>
    </row>
    <row r="90" s="9" customFormat="1" spans="1:9">
      <c r="A90" s="12">
        <v>89</v>
      </c>
      <c r="B90" s="9" t="s">
        <v>195</v>
      </c>
      <c r="C90" s="13" t="s">
        <v>10</v>
      </c>
      <c r="D90" s="13" t="s">
        <v>54</v>
      </c>
      <c r="E90" s="12">
        <v>2000</v>
      </c>
      <c r="F90" s="12" t="str">
        <f>IF(ISERROR(VLOOKUP(H90,[1]final!H:H,1,0)),"0","1")</f>
        <v>0</v>
      </c>
      <c r="G90" s="13" t="s">
        <v>32</v>
      </c>
      <c r="H90" s="13" t="s">
        <v>196</v>
      </c>
      <c r="I90" s="13" t="s">
        <v>197</v>
      </c>
    </row>
    <row r="91" s="9" customFormat="1" spans="1:9">
      <c r="A91" s="12">
        <v>90</v>
      </c>
      <c r="B91" s="9" t="s">
        <v>195</v>
      </c>
      <c r="C91" s="13" t="s">
        <v>10</v>
      </c>
      <c r="D91" s="13" t="s">
        <v>54</v>
      </c>
      <c r="E91" s="12">
        <v>1998</v>
      </c>
      <c r="F91" s="12" t="str">
        <f>IF(ISERROR(VLOOKUP(H91,[1]final!H:H,1,0)),"0","1")</f>
        <v>0</v>
      </c>
      <c r="G91" s="13" t="s">
        <v>32</v>
      </c>
      <c r="H91" s="13" t="s">
        <v>198</v>
      </c>
      <c r="I91" s="13" t="s">
        <v>199</v>
      </c>
    </row>
    <row r="92" s="9" customFormat="1" spans="1:9">
      <c r="A92" s="12">
        <v>91</v>
      </c>
      <c r="B92" s="9" t="s">
        <v>195</v>
      </c>
      <c r="C92" s="13" t="s">
        <v>10</v>
      </c>
      <c r="D92" s="13" t="s">
        <v>11</v>
      </c>
      <c r="E92" s="12">
        <v>2010</v>
      </c>
      <c r="F92" s="12" t="str">
        <f>IF(ISERROR(VLOOKUP(H92,[1]final!H:H,1,0)),"0","1")</f>
        <v>0</v>
      </c>
      <c r="G92" s="13" t="s">
        <v>19</v>
      </c>
      <c r="H92" s="13" t="s">
        <v>200</v>
      </c>
      <c r="I92" s="13" t="s">
        <v>201</v>
      </c>
    </row>
    <row r="93" s="9" customFormat="1" spans="1:9">
      <c r="A93" s="12">
        <v>92</v>
      </c>
      <c r="B93" s="9" t="s">
        <v>195</v>
      </c>
      <c r="C93" s="13" t="s">
        <v>10</v>
      </c>
      <c r="D93" s="13" t="s">
        <v>11</v>
      </c>
      <c r="E93" s="12">
        <v>1997</v>
      </c>
      <c r="F93" s="12" t="str">
        <f>IF(ISERROR(VLOOKUP(H93,[1]final!H:H,1,0)),"0","1")</f>
        <v>0</v>
      </c>
      <c r="G93" s="13" t="s">
        <v>32</v>
      </c>
      <c r="H93" s="13" t="s">
        <v>202</v>
      </c>
      <c r="I93" s="13" t="s">
        <v>203</v>
      </c>
    </row>
    <row r="94" s="9" customFormat="1" spans="1:9">
      <c r="A94" s="12">
        <v>93</v>
      </c>
      <c r="B94" s="9" t="s">
        <v>195</v>
      </c>
      <c r="C94" s="13" t="s">
        <v>10</v>
      </c>
      <c r="D94" s="13" t="s">
        <v>121</v>
      </c>
      <c r="E94" s="12">
        <v>2011</v>
      </c>
      <c r="F94" s="12" t="str">
        <f>IF(ISERROR(VLOOKUP(H94,[1]final!H:H,1,0)),"0","1")</f>
        <v>0</v>
      </c>
      <c r="G94" s="13" t="s">
        <v>19</v>
      </c>
      <c r="H94" s="13" t="s">
        <v>204</v>
      </c>
      <c r="I94" s="13"/>
    </row>
    <row r="95" s="9" customFormat="1" spans="1:9">
      <c r="A95" s="12">
        <v>94</v>
      </c>
      <c r="B95" s="9" t="s">
        <v>195</v>
      </c>
      <c r="C95" s="13" t="s">
        <v>10</v>
      </c>
      <c r="D95" s="13" t="s">
        <v>11</v>
      </c>
      <c r="E95" s="12">
        <v>2009</v>
      </c>
      <c r="F95" s="12" t="str">
        <f>IF(ISERROR(VLOOKUP(H95,[1]final!H:H,1,0)),"0","1")</f>
        <v>0</v>
      </c>
      <c r="G95" s="13" t="s">
        <v>32</v>
      </c>
      <c r="H95" s="13" t="s">
        <v>205</v>
      </c>
      <c r="I95" s="13" t="s">
        <v>206</v>
      </c>
    </row>
    <row r="96" s="9" customFormat="1" spans="1:9">
      <c r="A96" s="12">
        <v>95</v>
      </c>
      <c r="B96" s="9" t="s">
        <v>195</v>
      </c>
      <c r="C96" s="13" t="s">
        <v>10</v>
      </c>
      <c r="D96" s="13" t="s">
        <v>11</v>
      </c>
      <c r="E96" s="12">
        <v>2013</v>
      </c>
      <c r="F96" s="12" t="str">
        <f>IF(ISERROR(VLOOKUP(H96,[1]final!H:H,1,0)),"0","1")</f>
        <v>0</v>
      </c>
      <c r="G96" s="13" t="s">
        <v>19</v>
      </c>
      <c r="H96" s="13" t="s">
        <v>207</v>
      </c>
      <c r="I96" s="13" t="s">
        <v>208</v>
      </c>
    </row>
    <row r="97" s="9" customFormat="1" spans="1:9">
      <c r="A97" s="12">
        <v>96</v>
      </c>
      <c r="B97" s="9" t="s">
        <v>195</v>
      </c>
      <c r="C97" s="13" t="s">
        <v>10</v>
      </c>
      <c r="D97" s="13" t="s">
        <v>11</v>
      </c>
      <c r="E97" s="12">
        <v>2014</v>
      </c>
      <c r="F97" s="12" t="str">
        <f>IF(ISERROR(VLOOKUP(H97,[1]final!H:H,1,0)),"0","1")</f>
        <v>0</v>
      </c>
      <c r="G97" s="13" t="s">
        <v>19</v>
      </c>
      <c r="H97" s="13" t="s">
        <v>209</v>
      </c>
      <c r="I97" s="13" t="s">
        <v>210</v>
      </c>
    </row>
    <row r="98" s="9" customFormat="1" spans="1:9">
      <c r="A98" s="12">
        <v>97</v>
      </c>
      <c r="B98" s="9" t="s">
        <v>195</v>
      </c>
      <c r="C98" s="13" t="s">
        <v>10</v>
      </c>
      <c r="D98" s="13" t="s">
        <v>54</v>
      </c>
      <c r="E98" s="12">
        <v>2024</v>
      </c>
      <c r="F98" s="12" t="str">
        <f>IF(ISERROR(VLOOKUP(H98,[1]final!H:H,1,0)),"0","1")</f>
        <v>0</v>
      </c>
      <c r="G98" s="13" t="s">
        <v>19</v>
      </c>
      <c r="H98" s="13" t="s">
        <v>211</v>
      </c>
      <c r="I98" s="13" t="s">
        <v>212</v>
      </c>
    </row>
    <row r="99" s="9" customFormat="1" spans="1:9">
      <c r="A99" s="12">
        <v>98</v>
      </c>
      <c r="B99" s="9" t="s">
        <v>195</v>
      </c>
      <c r="C99" s="13" t="s">
        <v>10</v>
      </c>
      <c r="D99" s="13" t="s">
        <v>54</v>
      </c>
      <c r="E99" s="12">
        <v>2020</v>
      </c>
      <c r="F99" s="12" t="str">
        <f>IF(ISERROR(VLOOKUP(H99,[1]final!H:H,1,0)),"0","1")</f>
        <v>0</v>
      </c>
      <c r="G99" s="13" t="s">
        <v>19</v>
      </c>
      <c r="H99" s="13" t="s">
        <v>213</v>
      </c>
      <c r="I99" s="13" t="s">
        <v>214</v>
      </c>
    </row>
    <row r="100" s="9" customFormat="1" spans="1:9">
      <c r="A100" s="12">
        <v>99</v>
      </c>
      <c r="B100" s="9" t="s">
        <v>195</v>
      </c>
      <c r="C100" s="13" t="s">
        <v>10</v>
      </c>
      <c r="D100" s="13" t="s">
        <v>11</v>
      </c>
      <c r="E100" s="12">
        <v>2010</v>
      </c>
      <c r="F100" s="12" t="str">
        <f>IF(ISERROR(VLOOKUP(H100,[1]final!H:H,1,0)),"0","1")</f>
        <v>0</v>
      </c>
      <c r="G100" s="13" t="s">
        <v>19</v>
      </c>
      <c r="H100" s="13" t="s">
        <v>215</v>
      </c>
      <c r="I100" s="13" t="s">
        <v>216</v>
      </c>
    </row>
    <row r="101" s="9" customFormat="1" spans="1:9">
      <c r="A101" s="12">
        <v>100</v>
      </c>
      <c r="B101" s="9" t="s">
        <v>195</v>
      </c>
      <c r="C101" s="13" t="s">
        <v>10</v>
      </c>
      <c r="D101" s="13" t="s">
        <v>11</v>
      </c>
      <c r="E101" s="12">
        <v>2013</v>
      </c>
      <c r="F101" s="12" t="str">
        <f>IF(ISERROR(VLOOKUP(H101,[1]final!H:H,1,0)),"0","1")</f>
        <v>0</v>
      </c>
      <c r="G101" s="13" t="s">
        <v>19</v>
      </c>
      <c r="H101" s="13" t="s">
        <v>217</v>
      </c>
      <c r="I101" s="13" t="s">
        <v>218</v>
      </c>
    </row>
    <row r="102" s="9" customFormat="1" spans="1:9">
      <c r="A102" s="12">
        <v>101</v>
      </c>
      <c r="B102" s="9" t="s">
        <v>195</v>
      </c>
      <c r="C102" s="13" t="s">
        <v>10</v>
      </c>
      <c r="D102" s="13" t="s">
        <v>11</v>
      </c>
      <c r="E102" s="12">
        <v>2003</v>
      </c>
      <c r="F102" s="12" t="str">
        <f>IF(ISERROR(VLOOKUP(H102,[1]final!H:H,1,0)),"0","1")</f>
        <v>0</v>
      </c>
      <c r="G102" s="13" t="s">
        <v>32</v>
      </c>
      <c r="H102" s="13" t="s">
        <v>219</v>
      </c>
      <c r="I102" s="13" t="s">
        <v>220</v>
      </c>
    </row>
    <row r="103" s="9" customFormat="1" spans="1:9">
      <c r="A103" s="12">
        <v>102</v>
      </c>
      <c r="B103" s="9" t="s">
        <v>195</v>
      </c>
      <c r="C103" s="13" t="s">
        <v>10</v>
      </c>
      <c r="D103" s="13" t="s">
        <v>11</v>
      </c>
      <c r="E103" s="12">
        <v>2021</v>
      </c>
      <c r="F103" s="12" t="str">
        <f>IF(ISERROR(VLOOKUP(H103,[1]final!H:H,1,0)),"0","1")</f>
        <v>0</v>
      </c>
      <c r="G103" s="13" t="s">
        <v>19</v>
      </c>
      <c r="H103" s="13" t="s">
        <v>221</v>
      </c>
      <c r="I103" s="13" t="s">
        <v>222</v>
      </c>
    </row>
    <row r="104" s="9" customFormat="1" spans="1:9">
      <c r="A104" s="12">
        <v>103</v>
      </c>
      <c r="B104" s="9" t="s">
        <v>223</v>
      </c>
      <c r="C104" s="13" t="s">
        <v>10</v>
      </c>
      <c r="D104" s="16" t="s">
        <v>54</v>
      </c>
      <c r="E104" s="12">
        <v>2002</v>
      </c>
      <c r="F104" s="12" t="str">
        <f>IF(ISERROR(VLOOKUP(H104,[1]final!H:H,1,0)),"0","1")</f>
        <v>0</v>
      </c>
      <c r="G104" s="13" t="s">
        <v>32</v>
      </c>
      <c r="H104" s="13" t="s">
        <v>224</v>
      </c>
      <c r="I104" s="13" t="s">
        <v>225</v>
      </c>
    </row>
    <row r="105" s="9" customFormat="1" spans="1:9">
      <c r="A105" s="12">
        <v>104</v>
      </c>
      <c r="B105" s="9" t="s">
        <v>223</v>
      </c>
      <c r="C105" s="13" t="s">
        <v>10</v>
      </c>
      <c r="D105" s="16" t="s">
        <v>11</v>
      </c>
      <c r="E105" s="12">
        <v>2009</v>
      </c>
      <c r="F105" s="12" t="str">
        <f>IF(ISERROR(VLOOKUP(H105,[1]final!H:H,1,0)),"0","1")</f>
        <v>0</v>
      </c>
      <c r="G105" s="13" t="s">
        <v>32</v>
      </c>
      <c r="H105" s="13" t="s">
        <v>226</v>
      </c>
      <c r="I105" s="13" t="s">
        <v>227</v>
      </c>
    </row>
    <row r="106" s="9" customFormat="1" spans="1:9">
      <c r="A106" s="12">
        <v>105</v>
      </c>
      <c r="B106" s="9" t="s">
        <v>223</v>
      </c>
      <c r="C106" s="13" t="s">
        <v>10</v>
      </c>
      <c r="D106" s="16" t="s">
        <v>11</v>
      </c>
      <c r="E106" s="12">
        <v>2011</v>
      </c>
      <c r="F106" s="12" t="str">
        <f>IF(ISERROR(VLOOKUP(H106,[1]final!H:H,1,0)),"0","1")</f>
        <v>0</v>
      </c>
      <c r="G106" s="13" t="s">
        <v>228</v>
      </c>
      <c r="H106" s="13" t="s">
        <v>229</v>
      </c>
      <c r="I106" s="13" t="s">
        <v>230</v>
      </c>
    </row>
    <row r="107" s="9" customFormat="1" spans="1:9">
      <c r="A107" s="12">
        <v>106</v>
      </c>
      <c r="B107" s="9" t="s">
        <v>223</v>
      </c>
      <c r="C107" s="13" t="s">
        <v>10</v>
      </c>
      <c r="D107" s="16" t="s">
        <v>11</v>
      </c>
      <c r="E107" s="12">
        <v>2015</v>
      </c>
      <c r="F107" s="12" t="str">
        <f>IF(ISERROR(VLOOKUP(H107,[1]final!H:H,1,0)),"0","1")</f>
        <v>0</v>
      </c>
      <c r="G107" s="13" t="s">
        <v>228</v>
      </c>
      <c r="H107" s="13" t="s">
        <v>231</v>
      </c>
      <c r="I107" s="13" t="s">
        <v>232</v>
      </c>
    </row>
    <row r="108" s="9" customFormat="1" spans="1:9">
      <c r="A108" s="12">
        <v>107</v>
      </c>
      <c r="B108" s="9" t="s">
        <v>223</v>
      </c>
      <c r="C108" s="13" t="s">
        <v>10</v>
      </c>
      <c r="D108" s="16" t="s">
        <v>11</v>
      </c>
      <c r="E108" s="12">
        <v>2023</v>
      </c>
      <c r="F108" s="12" t="str">
        <f>IF(ISERROR(VLOOKUP(H108,[1]final!H:H,1,0)),"0","1")</f>
        <v>0</v>
      </c>
      <c r="G108" s="13" t="s">
        <v>228</v>
      </c>
      <c r="H108" s="13" t="s">
        <v>233</v>
      </c>
      <c r="I108" s="13" t="s">
        <v>234</v>
      </c>
    </row>
    <row r="109" s="9" customFormat="1" spans="1:9">
      <c r="A109" s="12">
        <v>108</v>
      </c>
      <c r="B109" s="9" t="s">
        <v>223</v>
      </c>
      <c r="C109" s="13" t="s">
        <v>10</v>
      </c>
      <c r="D109" s="16" t="s">
        <v>11</v>
      </c>
      <c r="E109" s="12">
        <v>2010</v>
      </c>
      <c r="F109" s="12" t="str">
        <f>IF(ISERROR(VLOOKUP(H109,[1]final!H:H,1,0)),"0","1")</f>
        <v>0</v>
      </c>
      <c r="G109" s="13" t="s">
        <v>228</v>
      </c>
      <c r="H109" s="13" t="s">
        <v>235</v>
      </c>
      <c r="I109" s="13" t="s">
        <v>236</v>
      </c>
    </row>
    <row r="110" s="9" customFormat="1" spans="1:9">
      <c r="A110" s="12">
        <v>109</v>
      </c>
      <c r="B110" s="9" t="s">
        <v>223</v>
      </c>
      <c r="C110" s="13" t="s">
        <v>10</v>
      </c>
      <c r="D110" s="16" t="s">
        <v>11</v>
      </c>
      <c r="E110" s="12">
        <v>2011</v>
      </c>
      <c r="F110" s="12" t="str">
        <f>IF(ISERROR(VLOOKUP(H110,[1]final!H:H,1,0)),"0","1")</f>
        <v>0</v>
      </c>
      <c r="G110" s="13" t="s">
        <v>228</v>
      </c>
      <c r="H110" s="13" t="s">
        <v>237</v>
      </c>
      <c r="I110" s="13" t="s">
        <v>238</v>
      </c>
    </row>
    <row r="111" s="9" customFormat="1" spans="1:9">
      <c r="A111" s="12">
        <v>110</v>
      </c>
      <c r="B111" s="9" t="s">
        <v>223</v>
      </c>
      <c r="C111" s="13" t="s">
        <v>10</v>
      </c>
      <c r="D111" s="16" t="s">
        <v>11</v>
      </c>
      <c r="E111" s="12">
        <v>2005</v>
      </c>
      <c r="F111" s="12" t="str">
        <f>IF(ISERROR(VLOOKUP(H111,[1]final!H:H,1,0)),"0","1")</f>
        <v>0</v>
      </c>
      <c r="G111" s="13" t="s">
        <v>32</v>
      </c>
      <c r="H111" s="13" t="s">
        <v>239</v>
      </c>
      <c r="I111" s="13" t="s">
        <v>240</v>
      </c>
    </row>
    <row r="112" s="9" customFormat="1" spans="1:9">
      <c r="A112" s="12">
        <v>111</v>
      </c>
      <c r="B112" s="9" t="s">
        <v>223</v>
      </c>
      <c r="C112" s="13" t="s">
        <v>10</v>
      </c>
      <c r="D112" s="16" t="s">
        <v>54</v>
      </c>
      <c r="E112" s="12">
        <v>1987</v>
      </c>
      <c r="F112" s="12" t="str">
        <f>IF(ISERROR(VLOOKUP(H112,[1]final!H:H,1,0)),"0","1")</f>
        <v>0</v>
      </c>
      <c r="G112" s="13" t="s">
        <v>32</v>
      </c>
      <c r="H112" s="13" t="s">
        <v>241</v>
      </c>
      <c r="I112" s="13" t="s">
        <v>242</v>
      </c>
    </row>
    <row r="113" s="9" customFormat="1" spans="1:9">
      <c r="A113" s="12">
        <v>112</v>
      </c>
      <c r="B113" s="9" t="s">
        <v>223</v>
      </c>
      <c r="C113" s="13" t="s">
        <v>10</v>
      </c>
      <c r="D113" s="16" t="s">
        <v>11</v>
      </c>
      <c r="E113" s="12">
        <v>2014</v>
      </c>
      <c r="F113" s="12" t="str">
        <f>IF(ISERROR(VLOOKUP(H113,[1]final!H:H,1,0)),"0","1")</f>
        <v>0</v>
      </c>
      <c r="G113" s="13" t="s">
        <v>228</v>
      </c>
      <c r="H113" s="13" t="s">
        <v>243</v>
      </c>
      <c r="I113" s="13" t="s">
        <v>244</v>
      </c>
    </row>
    <row r="114" s="9" customFormat="1" spans="1:9">
      <c r="A114" s="12">
        <v>113</v>
      </c>
      <c r="B114" s="9" t="s">
        <v>223</v>
      </c>
      <c r="C114" s="13" t="s">
        <v>10</v>
      </c>
      <c r="D114" s="16" t="s">
        <v>121</v>
      </c>
      <c r="E114" s="12">
        <v>2002</v>
      </c>
      <c r="F114" s="12" t="str">
        <f>IF(ISERROR(VLOOKUP(H114,[1]final!H:H,1,0)),"0","1")</f>
        <v>0</v>
      </c>
      <c r="G114" s="13" t="s">
        <v>32</v>
      </c>
      <c r="H114" s="13" t="s">
        <v>245</v>
      </c>
      <c r="I114" s="13" t="s">
        <v>246</v>
      </c>
    </row>
    <row r="115" s="9" customFormat="1" spans="1:9">
      <c r="A115" s="12">
        <v>114</v>
      </c>
      <c r="B115" s="9" t="s">
        <v>223</v>
      </c>
      <c r="C115" s="13" t="s">
        <v>10</v>
      </c>
      <c r="D115" s="16" t="s">
        <v>11</v>
      </c>
      <c r="E115" s="12">
        <v>1992</v>
      </c>
      <c r="F115" s="12" t="str">
        <f>IF(ISERROR(VLOOKUP(H115,[1]final!H:H,1,0)),"0","1")</f>
        <v>0</v>
      </c>
      <c r="G115" s="13" t="s">
        <v>32</v>
      </c>
      <c r="H115" s="13" t="s">
        <v>247</v>
      </c>
      <c r="I115" s="13" t="s">
        <v>248</v>
      </c>
    </row>
    <row r="116" s="9" customFormat="1" spans="1:9">
      <c r="A116" s="12">
        <v>115</v>
      </c>
      <c r="B116" s="9" t="s">
        <v>223</v>
      </c>
      <c r="C116" s="13" t="s">
        <v>10</v>
      </c>
      <c r="D116" s="16" t="s">
        <v>11</v>
      </c>
      <c r="E116" s="12">
        <v>2012</v>
      </c>
      <c r="F116" s="12" t="str">
        <f>IF(ISERROR(VLOOKUP(H116,[1]final!H:H,1,0)),"0","1")</f>
        <v>0</v>
      </c>
      <c r="G116" s="13" t="s">
        <v>228</v>
      </c>
      <c r="H116" s="13" t="s">
        <v>249</v>
      </c>
      <c r="I116" s="13" t="s">
        <v>250</v>
      </c>
    </row>
    <row r="117" s="9" customFormat="1" spans="1:9">
      <c r="A117" s="12">
        <v>116</v>
      </c>
      <c r="B117" s="9" t="s">
        <v>223</v>
      </c>
      <c r="C117" s="13" t="s">
        <v>10</v>
      </c>
      <c r="D117" s="16" t="s">
        <v>11</v>
      </c>
      <c r="E117" s="12">
        <v>2001</v>
      </c>
      <c r="F117" s="12" t="str">
        <f>IF(ISERROR(VLOOKUP(H117,[1]final!H:H,1,0)),"0","1")</f>
        <v>0</v>
      </c>
      <c r="G117" s="13" t="s">
        <v>32</v>
      </c>
      <c r="H117" s="13" t="s">
        <v>251</v>
      </c>
      <c r="I117" s="13" t="s">
        <v>252</v>
      </c>
    </row>
    <row r="118" s="9" customFormat="1" spans="1:9">
      <c r="A118" s="12">
        <v>117</v>
      </c>
      <c r="B118" s="9" t="s">
        <v>223</v>
      </c>
      <c r="C118" s="13" t="s">
        <v>10</v>
      </c>
      <c r="D118" s="16" t="s">
        <v>11</v>
      </c>
      <c r="E118" s="12">
        <v>2006</v>
      </c>
      <c r="F118" s="12" t="str">
        <f>IF(ISERROR(VLOOKUP(H118,[1]final!H:H,1,0)),"0","1")</f>
        <v>0</v>
      </c>
      <c r="G118" s="13" t="s">
        <v>32</v>
      </c>
      <c r="H118" s="13" t="s">
        <v>253</v>
      </c>
      <c r="I118" s="13"/>
    </row>
    <row r="119" s="9" customFormat="1" spans="1:9">
      <c r="A119" s="12">
        <v>118</v>
      </c>
      <c r="B119" s="9" t="s">
        <v>223</v>
      </c>
      <c r="C119" s="13" t="s">
        <v>10</v>
      </c>
      <c r="D119" s="16" t="s">
        <v>11</v>
      </c>
      <c r="E119" s="12">
        <v>2010</v>
      </c>
      <c r="F119" s="12" t="str">
        <f>IF(ISERROR(VLOOKUP(H119,[1]final!H:H,1,0)),"0","1")</f>
        <v>0</v>
      </c>
      <c r="G119" s="13" t="s">
        <v>228</v>
      </c>
      <c r="H119" s="13" t="s">
        <v>254</v>
      </c>
      <c r="I119" s="13" t="s">
        <v>255</v>
      </c>
    </row>
    <row r="120" s="9" customFormat="1" spans="1:9">
      <c r="A120" s="12">
        <v>119</v>
      </c>
      <c r="B120" s="9" t="s">
        <v>223</v>
      </c>
      <c r="C120" s="13" t="s">
        <v>10</v>
      </c>
      <c r="D120" s="16" t="s">
        <v>11</v>
      </c>
      <c r="E120" s="12">
        <v>1990</v>
      </c>
      <c r="F120" s="12" t="str">
        <f>IF(ISERROR(VLOOKUP(H120,[1]final!H:H,1,0)),"0","1")</f>
        <v>0</v>
      </c>
      <c r="G120" s="13" t="s">
        <v>32</v>
      </c>
      <c r="H120" s="13" t="s">
        <v>256</v>
      </c>
      <c r="I120" s="13" t="s">
        <v>257</v>
      </c>
    </row>
    <row r="121" s="9" customFormat="1" spans="1:9">
      <c r="A121" s="12">
        <v>120</v>
      </c>
      <c r="B121" s="9" t="s">
        <v>223</v>
      </c>
      <c r="C121" s="13" t="s">
        <v>10</v>
      </c>
      <c r="D121" s="16" t="s">
        <v>11</v>
      </c>
      <c r="E121" s="12">
        <v>2021</v>
      </c>
      <c r="F121" s="12" t="str">
        <f>IF(ISERROR(VLOOKUP(H121,[1]final!H:H,1,0)),"0","1")</f>
        <v>0</v>
      </c>
      <c r="G121" s="13" t="s">
        <v>228</v>
      </c>
      <c r="H121" s="13" t="s">
        <v>258</v>
      </c>
      <c r="I121" s="13" t="s">
        <v>259</v>
      </c>
    </row>
    <row r="122" s="9" customFormat="1" spans="1:9">
      <c r="A122" s="12">
        <v>121</v>
      </c>
      <c r="B122" s="9" t="s">
        <v>223</v>
      </c>
      <c r="C122" s="13" t="s">
        <v>10</v>
      </c>
      <c r="D122" s="16" t="s">
        <v>11</v>
      </c>
      <c r="E122" s="12">
        <v>2021</v>
      </c>
      <c r="F122" s="12" t="str">
        <f>IF(ISERROR(VLOOKUP(H122,[1]final!H:H,1,0)),"0","1")</f>
        <v>0</v>
      </c>
      <c r="G122" s="13" t="s">
        <v>228</v>
      </c>
      <c r="H122" s="13" t="s">
        <v>260</v>
      </c>
      <c r="I122" s="13" t="s">
        <v>261</v>
      </c>
    </row>
    <row r="123" s="9" customFormat="1" spans="1:9">
      <c r="A123" s="12">
        <v>122</v>
      </c>
      <c r="B123" s="9" t="s">
        <v>223</v>
      </c>
      <c r="C123" s="13" t="s">
        <v>10</v>
      </c>
      <c r="D123" s="16" t="s">
        <v>11</v>
      </c>
      <c r="E123" s="12">
        <v>2006</v>
      </c>
      <c r="F123" s="12" t="str">
        <f>IF(ISERROR(VLOOKUP(H123,[1]final!H:H,1,0)),"0","1")</f>
        <v>0</v>
      </c>
      <c r="G123" s="13" t="s">
        <v>32</v>
      </c>
      <c r="H123" s="13" t="s">
        <v>262</v>
      </c>
      <c r="I123" s="13" t="s">
        <v>263</v>
      </c>
    </row>
    <row r="124" s="9" customFormat="1" spans="1:9">
      <c r="A124" s="12">
        <v>123</v>
      </c>
      <c r="B124" s="9" t="s">
        <v>223</v>
      </c>
      <c r="C124" s="13" t="s">
        <v>10</v>
      </c>
      <c r="D124" s="16" t="s">
        <v>11</v>
      </c>
      <c r="E124" s="12">
        <v>2003</v>
      </c>
      <c r="F124" s="12" t="str">
        <f>IF(ISERROR(VLOOKUP(H124,[1]final!H:H,1,0)),"0","1")</f>
        <v>0</v>
      </c>
      <c r="G124" s="13" t="s">
        <v>32</v>
      </c>
      <c r="H124" s="13" t="s">
        <v>264</v>
      </c>
      <c r="I124" s="13" t="s">
        <v>265</v>
      </c>
    </row>
    <row r="125" s="9" customFormat="1" spans="1:9">
      <c r="A125" s="12">
        <v>124</v>
      </c>
      <c r="B125" s="9" t="s">
        <v>223</v>
      </c>
      <c r="C125" s="13" t="s">
        <v>10</v>
      </c>
      <c r="D125" s="16" t="s">
        <v>11</v>
      </c>
      <c r="E125" s="12">
        <v>2008</v>
      </c>
      <c r="F125" s="12" t="str">
        <f>IF(ISERROR(VLOOKUP(H125,[1]final!H:H,1,0)),"0","1")</f>
        <v>0</v>
      </c>
      <c r="G125" s="13" t="s">
        <v>32</v>
      </c>
      <c r="H125" s="13" t="s">
        <v>266</v>
      </c>
      <c r="I125" s="13" t="s">
        <v>267</v>
      </c>
    </row>
    <row r="126" s="9" customFormat="1" spans="1:9">
      <c r="A126" s="12">
        <v>125</v>
      </c>
      <c r="B126" s="9" t="s">
        <v>223</v>
      </c>
      <c r="C126" s="13" t="s">
        <v>10</v>
      </c>
      <c r="D126" s="16" t="s">
        <v>11</v>
      </c>
      <c r="E126" s="12">
        <v>2016</v>
      </c>
      <c r="F126" s="12" t="str">
        <f>IF(ISERROR(VLOOKUP(H126,[1]final!H:H,1,0)),"0","1")</f>
        <v>0</v>
      </c>
      <c r="G126" s="13" t="s">
        <v>228</v>
      </c>
      <c r="H126" s="13" t="s">
        <v>268</v>
      </c>
      <c r="I126" s="13" t="s">
        <v>269</v>
      </c>
    </row>
    <row r="127" s="9" customFormat="1" spans="1:9">
      <c r="A127" s="12">
        <v>126</v>
      </c>
      <c r="B127" s="9" t="s">
        <v>223</v>
      </c>
      <c r="C127" s="13" t="s">
        <v>10</v>
      </c>
      <c r="D127" s="16" t="s">
        <v>11</v>
      </c>
      <c r="E127" s="12">
        <v>2011</v>
      </c>
      <c r="F127" s="12" t="str">
        <f>IF(ISERROR(VLOOKUP(H127,[1]final!H:H,1,0)),"0","1")</f>
        <v>0</v>
      </c>
      <c r="G127" s="13" t="s">
        <v>228</v>
      </c>
      <c r="H127" s="13" t="s">
        <v>270</v>
      </c>
      <c r="I127" s="13" t="s">
        <v>271</v>
      </c>
    </row>
    <row r="128" s="9" customFormat="1" spans="1:9">
      <c r="A128" s="12">
        <v>127</v>
      </c>
      <c r="B128" s="9" t="s">
        <v>223</v>
      </c>
      <c r="C128" s="13" t="s">
        <v>10</v>
      </c>
      <c r="D128" s="16" t="s">
        <v>11</v>
      </c>
      <c r="E128" s="12">
        <v>2023</v>
      </c>
      <c r="F128" s="12" t="str">
        <f>IF(ISERROR(VLOOKUP(H128,[1]final!H:H,1,0)),"0","1")</f>
        <v>0</v>
      </c>
      <c r="G128" s="13" t="s">
        <v>228</v>
      </c>
      <c r="H128" s="13" t="s">
        <v>272</v>
      </c>
      <c r="I128" s="13" t="s">
        <v>273</v>
      </c>
    </row>
    <row r="129" s="9" customFormat="1" spans="1:9">
      <c r="A129" s="12">
        <v>128</v>
      </c>
      <c r="B129" s="9" t="s">
        <v>223</v>
      </c>
      <c r="C129" s="13" t="s">
        <v>10</v>
      </c>
      <c r="D129" s="16" t="s">
        <v>11</v>
      </c>
      <c r="E129" s="12">
        <v>2006</v>
      </c>
      <c r="F129" s="12" t="str">
        <f>IF(ISERROR(VLOOKUP(H129,[1]final!H:H,1,0)),"0","1")</f>
        <v>0</v>
      </c>
      <c r="G129" s="13" t="s">
        <v>32</v>
      </c>
      <c r="H129" s="13" t="s">
        <v>274</v>
      </c>
      <c r="I129" s="13" t="s">
        <v>275</v>
      </c>
    </row>
    <row r="130" s="9" customFormat="1" spans="1:9">
      <c r="A130" s="12">
        <v>129</v>
      </c>
      <c r="B130" s="9" t="s">
        <v>223</v>
      </c>
      <c r="C130" s="13" t="s">
        <v>10</v>
      </c>
      <c r="D130" s="16" t="s">
        <v>11</v>
      </c>
      <c r="E130" s="12">
        <v>2017</v>
      </c>
      <c r="F130" s="12" t="str">
        <f>IF(ISERROR(VLOOKUP(H130,[1]final!H:H,1,0)),"0","1")</f>
        <v>0</v>
      </c>
      <c r="G130" s="13" t="s">
        <v>228</v>
      </c>
      <c r="H130" s="13" t="s">
        <v>276</v>
      </c>
      <c r="I130" s="13" t="s">
        <v>277</v>
      </c>
    </row>
    <row r="131" s="9" customFormat="1" spans="1:9">
      <c r="A131" s="12">
        <v>130</v>
      </c>
      <c r="B131" s="9" t="s">
        <v>9</v>
      </c>
      <c r="C131" s="13" t="s">
        <v>278</v>
      </c>
      <c r="D131" s="13" t="s">
        <v>54</v>
      </c>
      <c r="E131" s="12">
        <v>2025</v>
      </c>
      <c r="F131" s="12" t="str">
        <f>IF(ISERROR(VLOOKUP(H131,[1]final!H:H,1,0)),"0","1")</f>
        <v>0</v>
      </c>
      <c r="G131" s="13" t="s">
        <v>16</v>
      </c>
      <c r="H131" s="13" t="s">
        <v>279</v>
      </c>
      <c r="I131" s="13" t="s">
        <v>280</v>
      </c>
    </row>
    <row r="132" s="9" customFormat="1" spans="1:9">
      <c r="A132" s="12">
        <v>131</v>
      </c>
      <c r="B132" s="9" t="s">
        <v>9</v>
      </c>
      <c r="C132" s="13" t="s">
        <v>278</v>
      </c>
      <c r="D132" s="13" t="s">
        <v>11</v>
      </c>
      <c r="E132" s="12">
        <v>2019</v>
      </c>
      <c r="F132" s="12" t="str">
        <f>IF(ISERROR(VLOOKUP(H132,[1]final!H:H,1,0)),"0","1")</f>
        <v>0</v>
      </c>
      <c r="G132" s="13" t="s">
        <v>86</v>
      </c>
      <c r="H132" s="13" t="s">
        <v>281</v>
      </c>
      <c r="I132" s="13" t="s">
        <v>282</v>
      </c>
    </row>
    <row r="133" s="9" customFormat="1" spans="1:9">
      <c r="A133" s="12">
        <v>132</v>
      </c>
      <c r="B133" s="9" t="s">
        <v>9</v>
      </c>
      <c r="C133" s="13" t="s">
        <v>278</v>
      </c>
      <c r="D133" s="13" t="s">
        <v>11</v>
      </c>
      <c r="E133" s="12">
        <v>2010</v>
      </c>
      <c r="F133" s="12" t="str">
        <f>IF(ISERROR(VLOOKUP(H133,[1]final!H:H,1,0)),"0","1")</f>
        <v>1</v>
      </c>
      <c r="G133" s="13"/>
      <c r="H133" s="13" t="s">
        <v>283</v>
      </c>
      <c r="I133" s="13" t="s">
        <v>284</v>
      </c>
    </row>
    <row r="134" s="9" customFormat="1" spans="1:9">
      <c r="A134" s="12">
        <v>133</v>
      </c>
      <c r="B134" s="9" t="s">
        <v>9</v>
      </c>
      <c r="C134" s="13" t="s">
        <v>278</v>
      </c>
      <c r="D134" s="13" t="s">
        <v>11</v>
      </c>
      <c r="E134" s="12">
        <v>2019</v>
      </c>
      <c r="F134" s="12" t="str">
        <f>IF(ISERROR(VLOOKUP(H134,[1]final!H:H,1,0)),"0","1")</f>
        <v>0</v>
      </c>
      <c r="G134" s="13" t="s">
        <v>16</v>
      </c>
      <c r="H134" s="13" t="s">
        <v>285</v>
      </c>
      <c r="I134" s="13" t="s">
        <v>286</v>
      </c>
    </row>
    <row r="135" s="9" customFormat="1" spans="1:9">
      <c r="A135" s="12">
        <v>134</v>
      </c>
      <c r="B135" s="9" t="s">
        <v>9</v>
      </c>
      <c r="C135" s="13" t="s">
        <v>278</v>
      </c>
      <c r="D135" s="13" t="s">
        <v>11</v>
      </c>
      <c r="E135" s="12">
        <v>2009</v>
      </c>
      <c r="F135" s="12" t="str">
        <f>IF(ISERROR(VLOOKUP(H135,[1]final!H:H,1,0)),"0","1")</f>
        <v>0</v>
      </c>
      <c r="G135" s="13" t="s">
        <v>32</v>
      </c>
      <c r="H135" s="13" t="s">
        <v>287</v>
      </c>
      <c r="I135" s="13" t="s">
        <v>288</v>
      </c>
    </row>
    <row r="136" s="9" customFormat="1" spans="1:9">
      <c r="A136" s="12">
        <v>135</v>
      </c>
      <c r="B136" s="9" t="s">
        <v>9</v>
      </c>
      <c r="C136" s="13" t="s">
        <v>278</v>
      </c>
      <c r="D136" s="13" t="s">
        <v>11</v>
      </c>
      <c r="E136" s="12">
        <v>2022</v>
      </c>
      <c r="F136" s="12" t="str">
        <f>IF(ISERROR(VLOOKUP(H136,[1]final!H:H,1,0)),"0","1")</f>
        <v>0</v>
      </c>
      <c r="G136" s="13" t="s">
        <v>16</v>
      </c>
      <c r="H136" s="13" t="s">
        <v>289</v>
      </c>
      <c r="I136" s="13" t="s">
        <v>290</v>
      </c>
    </row>
    <row r="137" s="9" customFormat="1" spans="1:9">
      <c r="A137" s="12">
        <v>136</v>
      </c>
      <c r="B137" s="9" t="s">
        <v>9</v>
      </c>
      <c r="C137" s="13" t="s">
        <v>278</v>
      </c>
      <c r="D137" s="13" t="s">
        <v>11</v>
      </c>
      <c r="E137" s="12">
        <v>2013</v>
      </c>
      <c r="F137" s="12" t="str">
        <f>IF(ISERROR(VLOOKUP(H137,[1]final!H:H,1,0)),"0","1")</f>
        <v>0</v>
      </c>
      <c r="G137" s="13" t="s">
        <v>16</v>
      </c>
      <c r="H137" s="13" t="s">
        <v>291</v>
      </c>
      <c r="I137" s="13" t="s">
        <v>292</v>
      </c>
    </row>
    <row r="138" s="9" customFormat="1" spans="1:9">
      <c r="A138" s="12">
        <v>137</v>
      </c>
      <c r="B138" s="9" t="s">
        <v>9</v>
      </c>
      <c r="C138" s="13" t="s">
        <v>278</v>
      </c>
      <c r="D138" s="13" t="s">
        <v>11</v>
      </c>
      <c r="E138" s="12">
        <v>2010</v>
      </c>
      <c r="F138" s="12" t="str">
        <f>IF(ISERROR(VLOOKUP(H138,[1]final!H:H,1,0)),"0","1")</f>
        <v>0</v>
      </c>
      <c r="G138" s="13" t="s">
        <v>16</v>
      </c>
      <c r="H138" s="13" t="s">
        <v>293</v>
      </c>
      <c r="I138" s="13" t="s">
        <v>294</v>
      </c>
    </row>
    <row r="139" s="9" customFormat="1" spans="1:9">
      <c r="A139" s="12">
        <v>138</v>
      </c>
      <c r="B139" s="9" t="s">
        <v>9</v>
      </c>
      <c r="C139" s="13" t="s">
        <v>278</v>
      </c>
      <c r="D139" s="13" t="s">
        <v>11</v>
      </c>
      <c r="E139" s="12">
        <v>2014</v>
      </c>
      <c r="F139" s="12" t="str">
        <f>IF(ISERROR(VLOOKUP(H139,[1]final!H:H,1,0)),"0","1")</f>
        <v>0</v>
      </c>
      <c r="G139" s="13" t="s">
        <v>16</v>
      </c>
      <c r="H139" s="13" t="s">
        <v>295</v>
      </c>
      <c r="I139" s="13" t="s">
        <v>296</v>
      </c>
    </row>
    <row r="140" s="9" customFormat="1" spans="1:9">
      <c r="A140" s="12">
        <v>139</v>
      </c>
      <c r="B140" s="9" t="s">
        <v>9</v>
      </c>
      <c r="C140" s="13" t="s">
        <v>278</v>
      </c>
      <c r="D140" s="13" t="s">
        <v>11</v>
      </c>
      <c r="E140" s="12">
        <v>2010</v>
      </c>
      <c r="F140" s="12" t="str">
        <f>IF(ISERROR(VLOOKUP(H140,[1]final!H:H,1,0)),"0","1")</f>
        <v>1</v>
      </c>
      <c r="G140" s="13"/>
      <c r="H140" s="13" t="s">
        <v>297</v>
      </c>
      <c r="I140" s="13" t="s">
        <v>298</v>
      </c>
    </row>
    <row r="141" s="9" customFormat="1" spans="1:9">
      <c r="A141" s="12">
        <v>140</v>
      </c>
      <c r="B141" s="9" t="s">
        <v>9</v>
      </c>
      <c r="C141" s="13" t="s">
        <v>278</v>
      </c>
      <c r="D141" s="13" t="s">
        <v>54</v>
      </c>
      <c r="E141" s="12">
        <v>2017</v>
      </c>
      <c r="F141" s="12" t="str">
        <f>IF(ISERROR(VLOOKUP(H141,[1]final!H:H,1,0)),"0","1")</f>
        <v>0</v>
      </c>
      <c r="G141" s="13" t="s">
        <v>16</v>
      </c>
      <c r="H141" s="13" t="s">
        <v>299</v>
      </c>
      <c r="I141" s="13" t="s">
        <v>300</v>
      </c>
    </row>
    <row r="142" s="9" customFormat="1" spans="1:9">
      <c r="A142" s="12">
        <v>141</v>
      </c>
      <c r="B142" s="9" t="s">
        <v>9</v>
      </c>
      <c r="C142" s="13" t="s">
        <v>278</v>
      </c>
      <c r="D142" s="13" t="s">
        <v>54</v>
      </c>
      <c r="E142" s="12">
        <v>2014</v>
      </c>
      <c r="F142" s="12" t="str">
        <f>IF(ISERROR(VLOOKUP(H142,[1]final!H:H,1,0)),"0","1")</f>
        <v>0</v>
      </c>
      <c r="G142" s="13" t="s">
        <v>16</v>
      </c>
      <c r="H142" s="13" t="s">
        <v>301</v>
      </c>
      <c r="I142" s="13" t="s">
        <v>302</v>
      </c>
    </row>
    <row r="143" s="9" customFormat="1" spans="1:9">
      <c r="A143" s="12">
        <v>142</v>
      </c>
      <c r="B143" s="9" t="s">
        <v>9</v>
      </c>
      <c r="C143" s="13" t="s">
        <v>278</v>
      </c>
      <c r="D143" s="13" t="s">
        <v>54</v>
      </c>
      <c r="E143" s="12">
        <v>1997</v>
      </c>
      <c r="F143" s="12" t="str">
        <f>IF(ISERROR(VLOOKUP(H143,[1]final!H:H,1,0)),"0","1")</f>
        <v>0</v>
      </c>
      <c r="G143" s="13" t="s">
        <v>32</v>
      </c>
      <c r="H143" s="13" t="s">
        <v>303</v>
      </c>
      <c r="I143" s="13" t="s">
        <v>304</v>
      </c>
    </row>
    <row r="144" s="9" customFormat="1" spans="1:9">
      <c r="A144" s="12">
        <v>143</v>
      </c>
      <c r="B144" s="9" t="s">
        <v>9</v>
      </c>
      <c r="C144" s="13" t="s">
        <v>278</v>
      </c>
      <c r="D144" s="13" t="s">
        <v>54</v>
      </c>
      <c r="E144" s="12">
        <v>2012</v>
      </c>
      <c r="F144" s="12" t="str">
        <f>IF(ISERROR(VLOOKUP(H144,[1]final!H:H,1,0)),"0","1")</f>
        <v>0</v>
      </c>
      <c r="G144" s="13" t="s">
        <v>16</v>
      </c>
      <c r="H144" s="13" t="s">
        <v>305</v>
      </c>
      <c r="I144" s="13" t="s">
        <v>306</v>
      </c>
    </row>
    <row r="145" s="9" customFormat="1" spans="1:9">
      <c r="A145" s="12">
        <v>144</v>
      </c>
      <c r="B145" s="9" t="s">
        <v>9</v>
      </c>
      <c r="C145" s="13" t="s">
        <v>278</v>
      </c>
      <c r="D145" s="13" t="s">
        <v>54</v>
      </c>
      <c r="E145" s="12">
        <v>1991</v>
      </c>
      <c r="F145" s="12" t="str">
        <f>IF(ISERROR(VLOOKUP(H145,[1]final!H:H,1,0)),"0","1")</f>
        <v>0</v>
      </c>
      <c r="G145" s="13" t="s">
        <v>32</v>
      </c>
      <c r="H145" s="13" t="s">
        <v>307</v>
      </c>
      <c r="I145" s="13" t="s">
        <v>308</v>
      </c>
    </row>
    <row r="146" s="9" customFormat="1" spans="1:9">
      <c r="A146" s="12">
        <v>145</v>
      </c>
      <c r="B146" s="9" t="s">
        <v>9</v>
      </c>
      <c r="C146" s="13" t="s">
        <v>278</v>
      </c>
      <c r="D146" s="13" t="s">
        <v>54</v>
      </c>
      <c r="E146" s="12">
        <v>1986</v>
      </c>
      <c r="F146" s="12" t="str">
        <f>IF(ISERROR(VLOOKUP(H146,[1]final!H:H,1,0)),"0","1")</f>
        <v>0</v>
      </c>
      <c r="G146" s="13" t="s">
        <v>32</v>
      </c>
      <c r="H146" s="13" t="s">
        <v>309</v>
      </c>
      <c r="I146" s="13" t="s">
        <v>310</v>
      </c>
    </row>
    <row r="147" s="9" customFormat="1" spans="1:9">
      <c r="A147" s="12">
        <v>146</v>
      </c>
      <c r="B147" s="9" t="s">
        <v>9</v>
      </c>
      <c r="C147" s="13" t="s">
        <v>278</v>
      </c>
      <c r="D147" s="13" t="s">
        <v>54</v>
      </c>
      <c r="E147" s="12">
        <v>1986</v>
      </c>
      <c r="F147" s="12" t="str">
        <f>IF(ISERROR(VLOOKUP(H147,[1]final!H:H,1,0)),"0","1")</f>
        <v>0</v>
      </c>
      <c r="G147" s="13" t="s">
        <v>32</v>
      </c>
      <c r="H147" s="13" t="s">
        <v>311</v>
      </c>
      <c r="I147" s="13"/>
    </row>
    <row r="148" s="9" customFormat="1" spans="1:9">
      <c r="A148" s="12">
        <v>147</v>
      </c>
      <c r="B148" s="9" t="s">
        <v>9</v>
      </c>
      <c r="C148" s="13" t="s">
        <v>278</v>
      </c>
      <c r="D148" s="13" t="s">
        <v>54</v>
      </c>
      <c r="E148" s="12">
        <v>1995</v>
      </c>
      <c r="F148" s="12" t="str">
        <f>IF(ISERROR(VLOOKUP(H148,[1]final!H:H,1,0)),"0","1")</f>
        <v>0</v>
      </c>
      <c r="G148" s="13" t="s">
        <v>32</v>
      </c>
      <c r="H148" s="13" t="s">
        <v>312</v>
      </c>
      <c r="I148" s="13" t="s">
        <v>313</v>
      </c>
    </row>
    <row r="149" s="9" customFormat="1" spans="1:9">
      <c r="A149" s="12">
        <v>148</v>
      </c>
      <c r="B149" s="9" t="s">
        <v>9</v>
      </c>
      <c r="C149" s="13" t="s">
        <v>278</v>
      </c>
      <c r="D149" s="13" t="s">
        <v>54</v>
      </c>
      <c r="E149" s="12">
        <v>2010</v>
      </c>
      <c r="F149" s="12" t="str">
        <f>IF(ISERROR(VLOOKUP(H149,[1]final!H:H,1,0)),"0","1")</f>
        <v>1</v>
      </c>
      <c r="G149" s="13"/>
      <c r="H149" s="13" t="s">
        <v>314</v>
      </c>
      <c r="I149" s="13" t="s">
        <v>315</v>
      </c>
    </row>
    <row r="150" s="9" customFormat="1" spans="1:9">
      <c r="A150" s="12">
        <v>149</v>
      </c>
      <c r="B150" s="9" t="s">
        <v>9</v>
      </c>
      <c r="C150" s="13" t="s">
        <v>278</v>
      </c>
      <c r="D150" s="13" t="s">
        <v>54</v>
      </c>
      <c r="E150" s="12">
        <v>2015</v>
      </c>
      <c r="F150" s="12" t="str">
        <f>IF(ISERROR(VLOOKUP(H150,[1]final!H:H,1,0)),"0","1")</f>
        <v>1</v>
      </c>
      <c r="G150" s="13"/>
      <c r="H150" s="13" t="s">
        <v>316</v>
      </c>
      <c r="I150" s="13" t="s">
        <v>317</v>
      </c>
    </row>
    <row r="151" s="9" customFormat="1" spans="1:9">
      <c r="A151" s="12">
        <v>150</v>
      </c>
      <c r="B151" s="9" t="s">
        <v>9</v>
      </c>
      <c r="C151" s="13" t="s">
        <v>278</v>
      </c>
      <c r="D151" s="13" t="s">
        <v>54</v>
      </c>
      <c r="E151" s="12">
        <v>2014</v>
      </c>
      <c r="F151" s="12" t="str">
        <f>IF(ISERROR(VLOOKUP(H151,[1]final!H:H,1,0)),"0","1")</f>
        <v>1</v>
      </c>
      <c r="G151" s="13"/>
      <c r="H151" s="13" t="s">
        <v>318</v>
      </c>
      <c r="I151" s="13" t="s">
        <v>319</v>
      </c>
    </row>
    <row r="152" s="9" customFormat="1" spans="1:9">
      <c r="A152" s="12">
        <v>151</v>
      </c>
      <c r="B152" s="9" t="s">
        <v>9</v>
      </c>
      <c r="C152" s="13" t="s">
        <v>278</v>
      </c>
      <c r="D152" s="13" t="s">
        <v>54</v>
      </c>
      <c r="E152" s="12">
        <v>2011</v>
      </c>
      <c r="F152" s="12" t="str">
        <f>IF(ISERROR(VLOOKUP(H152,[1]final!H:H,1,0)),"0","1")</f>
        <v>1</v>
      </c>
      <c r="G152" s="13"/>
      <c r="H152" s="13" t="s">
        <v>320</v>
      </c>
      <c r="I152" s="13" t="s">
        <v>321</v>
      </c>
    </row>
    <row r="153" s="9" customFormat="1" spans="1:9">
      <c r="A153" s="12">
        <v>152</v>
      </c>
      <c r="B153" s="9" t="s">
        <v>9</v>
      </c>
      <c r="C153" s="13" t="s">
        <v>278</v>
      </c>
      <c r="D153" s="13" t="s">
        <v>54</v>
      </c>
      <c r="E153" s="12">
        <v>2014</v>
      </c>
      <c r="F153" s="12" t="str">
        <f>IF(ISERROR(VLOOKUP(H153,[1]final!H:H,1,0)),"0","1")</f>
        <v>0</v>
      </c>
      <c r="G153" s="13" t="s">
        <v>16</v>
      </c>
      <c r="H153" s="13" t="s">
        <v>322</v>
      </c>
      <c r="I153" s="13" t="s">
        <v>323</v>
      </c>
    </row>
    <row r="154" s="9" customFormat="1" spans="1:9">
      <c r="A154" s="12">
        <v>153</v>
      </c>
      <c r="B154" s="9" t="s">
        <v>9</v>
      </c>
      <c r="C154" s="13" t="s">
        <v>278</v>
      </c>
      <c r="D154" s="13" t="s">
        <v>54</v>
      </c>
      <c r="E154" s="12">
        <v>2012</v>
      </c>
      <c r="F154" s="12" t="str">
        <f>IF(ISERROR(VLOOKUP(H154,[1]final!H:H,1,0)),"0","1")</f>
        <v>0</v>
      </c>
      <c r="G154" s="13" t="s">
        <v>16</v>
      </c>
      <c r="H154" s="13" t="s">
        <v>324</v>
      </c>
      <c r="I154" s="13" t="s">
        <v>325</v>
      </c>
    </row>
    <row r="155" s="9" customFormat="1" spans="1:9">
      <c r="A155" s="12">
        <v>154</v>
      </c>
      <c r="B155" s="9" t="s">
        <v>9</v>
      </c>
      <c r="C155" s="13" t="s">
        <v>278</v>
      </c>
      <c r="D155" s="13" t="s">
        <v>54</v>
      </c>
      <c r="E155" s="12">
        <v>2018</v>
      </c>
      <c r="F155" s="12" t="str">
        <f>IF(ISERROR(VLOOKUP(H155,[1]final!H:H,1,0)),"0","1")</f>
        <v>0</v>
      </c>
      <c r="G155" s="13" t="s">
        <v>86</v>
      </c>
      <c r="H155" s="13" t="s">
        <v>326</v>
      </c>
      <c r="I155" s="13" t="s">
        <v>327</v>
      </c>
    </row>
    <row r="156" s="9" customFormat="1" spans="1:9">
      <c r="A156" s="12">
        <v>155</v>
      </c>
      <c r="B156" s="9" t="s">
        <v>9</v>
      </c>
      <c r="C156" s="13" t="s">
        <v>278</v>
      </c>
      <c r="D156" s="13" t="s">
        <v>54</v>
      </c>
      <c r="E156" s="12">
        <v>2024</v>
      </c>
      <c r="F156" s="12" t="str">
        <f>IF(ISERROR(VLOOKUP(H156,[1]final!H:H,1,0)),"0","1")</f>
        <v>0</v>
      </c>
      <c r="G156" s="13" t="s">
        <v>16</v>
      </c>
      <c r="H156" s="13" t="s">
        <v>328</v>
      </c>
      <c r="I156" s="13" t="s">
        <v>329</v>
      </c>
    </row>
    <row r="157" s="9" customFormat="1" spans="1:9">
      <c r="A157" s="12">
        <v>156</v>
      </c>
      <c r="B157" s="9" t="s">
        <v>9</v>
      </c>
      <c r="C157" s="13" t="s">
        <v>278</v>
      </c>
      <c r="D157" s="13" t="s">
        <v>54</v>
      </c>
      <c r="E157" s="12">
        <v>2011</v>
      </c>
      <c r="F157" s="12" t="str">
        <f>IF(ISERROR(VLOOKUP(H157,[1]final!H:H,1,0)),"0","1")</f>
        <v>0</v>
      </c>
      <c r="G157" s="13" t="s">
        <v>16</v>
      </c>
      <c r="H157" s="13" t="s">
        <v>330</v>
      </c>
      <c r="I157" s="13" t="s">
        <v>331</v>
      </c>
    </row>
    <row r="158" s="9" customFormat="1" spans="1:9">
      <c r="A158" s="12">
        <v>157</v>
      </c>
      <c r="B158" s="9" t="s">
        <v>9</v>
      </c>
      <c r="C158" s="13" t="s">
        <v>278</v>
      </c>
      <c r="D158" s="13" t="s">
        <v>54</v>
      </c>
      <c r="E158" s="12">
        <v>2020</v>
      </c>
      <c r="F158" s="12" t="str">
        <f>IF(ISERROR(VLOOKUP(H158,[1]final!H:H,1,0)),"0","1")</f>
        <v>0</v>
      </c>
      <c r="G158" s="13" t="s">
        <v>16</v>
      </c>
      <c r="H158" s="13" t="s">
        <v>332</v>
      </c>
      <c r="I158" s="13" t="s">
        <v>333</v>
      </c>
    </row>
    <row r="159" s="9" customFormat="1" spans="1:9">
      <c r="A159" s="12">
        <v>158</v>
      </c>
      <c r="B159" s="9" t="s">
        <v>9</v>
      </c>
      <c r="C159" s="13" t="s">
        <v>278</v>
      </c>
      <c r="D159" s="13" t="s">
        <v>54</v>
      </c>
      <c r="E159" s="12">
        <v>2015</v>
      </c>
      <c r="F159" s="12" t="str">
        <f>IF(ISERROR(VLOOKUP(H159,[1]final!H:H,1,0)),"0","1")</f>
        <v>1</v>
      </c>
      <c r="G159" s="13"/>
      <c r="H159" s="13" t="s">
        <v>334</v>
      </c>
      <c r="I159" s="13" t="s">
        <v>335</v>
      </c>
    </row>
    <row r="160" s="9" customFormat="1" spans="1:9">
      <c r="A160" s="12">
        <v>159</v>
      </c>
      <c r="B160" s="9" t="s">
        <v>9</v>
      </c>
      <c r="C160" s="13" t="s">
        <v>278</v>
      </c>
      <c r="D160" s="13" t="s">
        <v>54</v>
      </c>
      <c r="E160" s="12">
        <v>2012</v>
      </c>
      <c r="F160" s="12" t="str">
        <f>IF(ISERROR(VLOOKUP(H160,[1]final!H:H,1,0)),"0","1")</f>
        <v>1</v>
      </c>
      <c r="G160" s="13"/>
      <c r="H160" s="13" t="s">
        <v>336</v>
      </c>
      <c r="I160" s="13" t="s">
        <v>337</v>
      </c>
    </row>
    <row r="161" s="9" customFormat="1" spans="1:9">
      <c r="A161" s="12">
        <v>160</v>
      </c>
      <c r="B161" s="9" t="s">
        <v>9</v>
      </c>
      <c r="C161" s="13" t="s">
        <v>278</v>
      </c>
      <c r="D161" s="13" t="s">
        <v>54</v>
      </c>
      <c r="E161" s="12">
        <v>2003</v>
      </c>
      <c r="F161" s="12" t="str">
        <f>IF(ISERROR(VLOOKUP(H161,[1]final!H:H,1,0)),"0","1")</f>
        <v>0</v>
      </c>
      <c r="G161" s="13" t="s">
        <v>32</v>
      </c>
      <c r="H161" s="13" t="s">
        <v>338</v>
      </c>
      <c r="I161" s="13" t="s">
        <v>339</v>
      </c>
    </row>
    <row r="162" s="9" customFormat="1" spans="1:9">
      <c r="A162" s="12">
        <v>161</v>
      </c>
      <c r="B162" s="9" t="s">
        <v>9</v>
      </c>
      <c r="C162" s="13" t="s">
        <v>278</v>
      </c>
      <c r="D162" s="13" t="s">
        <v>54</v>
      </c>
      <c r="E162" s="12">
        <v>2020</v>
      </c>
      <c r="F162" s="12" t="str">
        <f>IF(ISERROR(VLOOKUP(H162,[1]final!H:H,1,0)),"0","1")</f>
        <v>0</v>
      </c>
      <c r="G162" s="13" t="s">
        <v>16</v>
      </c>
      <c r="H162" s="13" t="s">
        <v>340</v>
      </c>
      <c r="I162" s="13" t="s">
        <v>341</v>
      </c>
    </row>
    <row r="163" s="9" customFormat="1" spans="1:9">
      <c r="A163" s="12">
        <v>162</v>
      </c>
      <c r="B163" s="9" t="s">
        <v>9</v>
      </c>
      <c r="C163" s="13" t="s">
        <v>278</v>
      </c>
      <c r="D163" s="13" t="s">
        <v>54</v>
      </c>
      <c r="E163" s="12">
        <v>2011</v>
      </c>
      <c r="F163" s="12" t="str">
        <f>IF(ISERROR(VLOOKUP(H163,[1]final!H:H,1,0)),"0","1")</f>
        <v>1</v>
      </c>
      <c r="G163" s="13"/>
      <c r="H163" s="13" t="s">
        <v>342</v>
      </c>
      <c r="I163" s="13" t="s">
        <v>343</v>
      </c>
    </row>
    <row r="164" s="9" customFormat="1" spans="1:9">
      <c r="A164" s="12">
        <v>163</v>
      </c>
      <c r="B164" s="9" t="s">
        <v>9</v>
      </c>
      <c r="C164" s="13" t="s">
        <v>278</v>
      </c>
      <c r="D164" s="13" t="s">
        <v>54</v>
      </c>
      <c r="E164" s="12">
        <v>2019</v>
      </c>
      <c r="F164" s="12" t="str">
        <f>IF(ISERROR(VLOOKUP(H164,[1]final!H:H,1,0)),"0","1")</f>
        <v>1</v>
      </c>
      <c r="G164" s="13"/>
      <c r="H164" s="13" t="s">
        <v>344</v>
      </c>
      <c r="I164" s="13" t="s">
        <v>345</v>
      </c>
    </row>
    <row r="165" s="9" customFormat="1" spans="1:9">
      <c r="A165" s="12">
        <v>164</v>
      </c>
      <c r="B165" s="9" t="s">
        <v>9</v>
      </c>
      <c r="C165" s="13" t="s">
        <v>278</v>
      </c>
      <c r="D165" s="13" t="s">
        <v>54</v>
      </c>
      <c r="E165" s="12">
        <v>1998</v>
      </c>
      <c r="F165" s="12" t="str">
        <f>IF(ISERROR(VLOOKUP(H165,[1]final!H:H,1,0)),"0","1")</f>
        <v>0</v>
      </c>
      <c r="G165" s="13" t="s">
        <v>32</v>
      </c>
      <c r="H165" s="13" t="s">
        <v>346</v>
      </c>
      <c r="I165" s="13" t="s">
        <v>347</v>
      </c>
    </row>
    <row r="166" s="9" customFormat="1" spans="1:9">
      <c r="A166" s="12">
        <v>165</v>
      </c>
      <c r="B166" s="9" t="s">
        <v>9</v>
      </c>
      <c r="C166" s="13" t="s">
        <v>278</v>
      </c>
      <c r="D166" s="13" t="s">
        <v>54</v>
      </c>
      <c r="E166" s="12">
        <v>2025</v>
      </c>
      <c r="F166" s="12" t="str">
        <f>IF(ISERROR(VLOOKUP(H166,[1]final!H:H,1,0)),"0","1")</f>
        <v>1</v>
      </c>
      <c r="G166" s="13"/>
      <c r="H166" s="13" t="s">
        <v>348</v>
      </c>
      <c r="I166" s="13" t="s">
        <v>349</v>
      </c>
    </row>
    <row r="167" s="9" customFormat="1" spans="1:9">
      <c r="A167" s="12">
        <v>166</v>
      </c>
      <c r="B167" s="9" t="s">
        <v>9</v>
      </c>
      <c r="C167" s="13" t="s">
        <v>278</v>
      </c>
      <c r="D167" s="13" t="s">
        <v>54</v>
      </c>
      <c r="E167" s="12">
        <v>2024</v>
      </c>
      <c r="F167" s="12" t="str">
        <f>IF(ISERROR(VLOOKUP(H167,[1]final!H:H,1,0)),"0","1")</f>
        <v>0</v>
      </c>
      <c r="G167" s="13" t="s">
        <v>16</v>
      </c>
      <c r="H167" s="13" t="s">
        <v>350</v>
      </c>
      <c r="I167" s="13" t="s">
        <v>351</v>
      </c>
    </row>
    <row r="168" s="9" customFormat="1" spans="1:9">
      <c r="A168" s="12">
        <v>167</v>
      </c>
      <c r="B168" s="9" t="s">
        <v>9</v>
      </c>
      <c r="C168" s="13" t="s">
        <v>278</v>
      </c>
      <c r="D168" s="13" t="s">
        <v>54</v>
      </c>
      <c r="E168" s="12">
        <v>2024</v>
      </c>
      <c r="F168" s="12" t="str">
        <f>IF(ISERROR(VLOOKUP(H168,[1]final!H:H,1,0)),"0","1")</f>
        <v>1</v>
      </c>
      <c r="G168" s="13"/>
      <c r="H168" s="13" t="s">
        <v>352</v>
      </c>
      <c r="I168" s="13" t="s">
        <v>353</v>
      </c>
    </row>
    <row r="169" s="9" customFormat="1" spans="1:9">
      <c r="A169" s="12">
        <v>168</v>
      </c>
      <c r="B169" s="9" t="s">
        <v>9</v>
      </c>
      <c r="C169" s="13" t="s">
        <v>278</v>
      </c>
      <c r="D169" s="13" t="s">
        <v>54</v>
      </c>
      <c r="E169" s="12">
        <v>2008</v>
      </c>
      <c r="F169" s="12" t="str">
        <f>IF(ISERROR(VLOOKUP(H169,[1]final!H:H,1,0)),"0","1")</f>
        <v>0</v>
      </c>
      <c r="G169" s="13" t="s">
        <v>32</v>
      </c>
      <c r="H169" s="13" t="s">
        <v>354</v>
      </c>
      <c r="I169" s="13" t="s">
        <v>355</v>
      </c>
    </row>
    <row r="170" s="9" customFormat="1" spans="1:9">
      <c r="A170" s="12">
        <v>169</v>
      </c>
      <c r="B170" s="9" t="s">
        <v>9</v>
      </c>
      <c r="C170" s="13" t="s">
        <v>278</v>
      </c>
      <c r="D170" s="13" t="s">
        <v>54</v>
      </c>
      <c r="E170" s="12">
        <v>2024</v>
      </c>
      <c r="F170" s="12" t="str">
        <f>IF(ISERROR(VLOOKUP(H170,[1]final!H:H,1,0)),"0","1")</f>
        <v>1</v>
      </c>
      <c r="G170" s="13"/>
      <c r="H170" s="13" t="s">
        <v>356</v>
      </c>
      <c r="I170" s="13" t="s">
        <v>357</v>
      </c>
    </row>
    <row r="171" s="9" customFormat="1" spans="1:9">
      <c r="A171" s="12">
        <v>170</v>
      </c>
      <c r="B171" s="9" t="s">
        <v>9</v>
      </c>
      <c r="C171" s="13" t="s">
        <v>278</v>
      </c>
      <c r="D171" s="13" t="s">
        <v>54</v>
      </c>
      <c r="E171" s="12">
        <v>2024</v>
      </c>
      <c r="F171" s="12" t="str">
        <f>IF(ISERROR(VLOOKUP(H171,[1]final!H:H,1,0)),"0","1")</f>
        <v>1</v>
      </c>
      <c r="G171" s="13"/>
      <c r="H171" s="13" t="s">
        <v>358</v>
      </c>
      <c r="I171" s="13" t="s">
        <v>359</v>
      </c>
    </row>
    <row r="172" s="9" customFormat="1" spans="1:9">
      <c r="A172" s="12">
        <v>171</v>
      </c>
      <c r="B172" s="9" t="s">
        <v>9</v>
      </c>
      <c r="C172" s="13" t="s">
        <v>278</v>
      </c>
      <c r="D172" s="13" t="s">
        <v>54</v>
      </c>
      <c r="E172" s="12">
        <v>2010</v>
      </c>
      <c r="F172" s="12" t="str">
        <f>IF(ISERROR(VLOOKUP(H172,[1]final!H:H,1,0)),"0","1")</f>
        <v>0</v>
      </c>
      <c r="G172" s="13" t="s">
        <v>16</v>
      </c>
      <c r="H172" s="13" t="s">
        <v>360</v>
      </c>
      <c r="I172" s="13" t="s">
        <v>361</v>
      </c>
    </row>
    <row r="173" s="9" customFormat="1" spans="1:9">
      <c r="A173" s="12">
        <v>172</v>
      </c>
      <c r="B173" s="9" t="s">
        <v>9</v>
      </c>
      <c r="C173" s="13" t="s">
        <v>278</v>
      </c>
      <c r="D173" s="13" t="s">
        <v>54</v>
      </c>
      <c r="E173" s="12">
        <v>2013</v>
      </c>
      <c r="F173" s="12" t="str">
        <f>IF(ISERROR(VLOOKUP(H173,[1]final!H:H,1,0)),"0","1")</f>
        <v>1</v>
      </c>
      <c r="G173" s="13"/>
      <c r="H173" s="13" t="s">
        <v>362</v>
      </c>
      <c r="I173" s="13" t="s">
        <v>363</v>
      </c>
    </row>
    <row r="174" s="9" customFormat="1" spans="1:9">
      <c r="A174" s="12">
        <v>173</v>
      </c>
      <c r="B174" s="9" t="s">
        <v>9</v>
      </c>
      <c r="C174" s="13" t="s">
        <v>278</v>
      </c>
      <c r="D174" s="13" t="s">
        <v>54</v>
      </c>
      <c r="E174" s="12">
        <v>2017</v>
      </c>
      <c r="F174" s="12" t="str">
        <f>IF(ISERROR(VLOOKUP(H174,[1]final!H:H,1,0)),"0","1")</f>
        <v>1</v>
      </c>
      <c r="G174" s="13"/>
      <c r="H174" s="13" t="s">
        <v>364</v>
      </c>
      <c r="I174" s="13" t="s">
        <v>365</v>
      </c>
    </row>
    <row r="175" s="9" customFormat="1" spans="1:9">
      <c r="A175" s="12">
        <v>174</v>
      </c>
      <c r="B175" s="9" t="s">
        <v>9</v>
      </c>
      <c r="C175" s="13" t="s">
        <v>278</v>
      </c>
      <c r="D175" s="13" t="s">
        <v>54</v>
      </c>
      <c r="E175" s="12">
        <v>2024</v>
      </c>
      <c r="F175" s="12" t="str">
        <f>IF(ISERROR(VLOOKUP(H175,[1]final!H:H,1,0)),"0","1")</f>
        <v>1</v>
      </c>
      <c r="G175" s="13"/>
      <c r="H175" s="13" t="s">
        <v>366</v>
      </c>
      <c r="I175" s="13" t="s">
        <v>367</v>
      </c>
    </row>
    <row r="176" s="9" customFormat="1" spans="1:9">
      <c r="A176" s="12">
        <v>175</v>
      </c>
      <c r="B176" s="9" t="s">
        <v>9</v>
      </c>
      <c r="C176" s="13" t="s">
        <v>278</v>
      </c>
      <c r="D176" s="13" t="s">
        <v>54</v>
      </c>
      <c r="E176" s="12">
        <v>2014</v>
      </c>
      <c r="F176" s="12" t="str">
        <f>IF(ISERROR(VLOOKUP(H176,[1]final!H:H,1,0)),"0","1")</f>
        <v>1</v>
      </c>
      <c r="G176" s="13"/>
      <c r="H176" s="13" t="s">
        <v>368</v>
      </c>
      <c r="I176" s="13" t="s">
        <v>369</v>
      </c>
    </row>
    <row r="177" s="9" customFormat="1" spans="1:9">
      <c r="A177" s="12">
        <v>176</v>
      </c>
      <c r="B177" s="9" t="s">
        <v>9</v>
      </c>
      <c r="C177" s="13" t="s">
        <v>278</v>
      </c>
      <c r="D177" s="13" t="s">
        <v>54</v>
      </c>
      <c r="E177" s="12">
        <v>2013</v>
      </c>
      <c r="F177" s="12" t="str">
        <f>IF(ISERROR(VLOOKUP(H177,[1]final!H:H,1,0)),"0","1")</f>
        <v>1</v>
      </c>
      <c r="G177" s="13"/>
      <c r="H177" s="13" t="s">
        <v>370</v>
      </c>
      <c r="I177" s="13" t="s">
        <v>371</v>
      </c>
    </row>
    <row r="178" s="9" customFormat="1" spans="1:9">
      <c r="A178" s="12">
        <v>177</v>
      </c>
      <c r="B178" s="9" t="s">
        <v>9</v>
      </c>
      <c r="C178" s="13" t="s">
        <v>278</v>
      </c>
      <c r="D178" s="13" t="s">
        <v>54</v>
      </c>
      <c r="E178" s="12">
        <v>2017</v>
      </c>
      <c r="F178" s="12" t="str">
        <f>IF(ISERROR(VLOOKUP(H178,[1]final!H:H,1,0)),"0","1")</f>
        <v>1</v>
      </c>
      <c r="G178" s="13"/>
      <c r="H178" s="13" t="s">
        <v>372</v>
      </c>
      <c r="I178" s="13" t="s">
        <v>373</v>
      </c>
    </row>
    <row r="179" s="9" customFormat="1" spans="1:9">
      <c r="A179" s="12">
        <v>178</v>
      </c>
      <c r="B179" s="9" t="s">
        <v>9</v>
      </c>
      <c r="C179" s="13" t="s">
        <v>278</v>
      </c>
      <c r="D179" s="13" t="s">
        <v>54</v>
      </c>
      <c r="E179" s="12">
        <v>2014</v>
      </c>
      <c r="F179" s="12" t="str">
        <f>IF(ISERROR(VLOOKUP(H179,[1]final!H:H,1,0)),"0","1")</f>
        <v>1</v>
      </c>
      <c r="G179" s="13"/>
      <c r="H179" s="13" t="s">
        <v>374</v>
      </c>
      <c r="I179" s="13" t="s">
        <v>375</v>
      </c>
    </row>
    <row r="180" s="9" customFormat="1" spans="1:9">
      <c r="A180" s="12">
        <v>179</v>
      </c>
      <c r="B180" s="9" t="s">
        <v>9</v>
      </c>
      <c r="C180" s="13" t="s">
        <v>278</v>
      </c>
      <c r="D180" s="13" t="s">
        <v>54</v>
      </c>
      <c r="E180" s="12">
        <v>2019</v>
      </c>
      <c r="F180" s="12" t="str">
        <f>IF(ISERROR(VLOOKUP(H180,[1]final!H:H,1,0)),"0","1")</f>
        <v>1</v>
      </c>
      <c r="G180" s="13"/>
      <c r="H180" s="13" t="s">
        <v>376</v>
      </c>
      <c r="I180" s="13" t="s">
        <v>377</v>
      </c>
    </row>
    <row r="181" s="9" customFormat="1" spans="1:9">
      <c r="A181" s="12">
        <v>180</v>
      </c>
      <c r="B181" s="9" t="s">
        <v>9</v>
      </c>
      <c r="C181" s="13" t="s">
        <v>278</v>
      </c>
      <c r="D181" s="13" t="s">
        <v>54</v>
      </c>
      <c r="E181" s="12">
        <v>2015</v>
      </c>
      <c r="F181" s="12" t="str">
        <f>IF(ISERROR(VLOOKUP(H181,[1]final!H:H,1,0)),"0","1")</f>
        <v>1</v>
      </c>
      <c r="G181" s="13"/>
      <c r="H181" s="13" t="s">
        <v>378</v>
      </c>
      <c r="I181" s="13" t="s">
        <v>379</v>
      </c>
    </row>
    <row r="182" s="9" customFormat="1" spans="1:9">
      <c r="A182" s="12">
        <v>181</v>
      </c>
      <c r="B182" s="9" t="s">
        <v>9</v>
      </c>
      <c r="C182" s="13" t="s">
        <v>278</v>
      </c>
      <c r="D182" s="13" t="s">
        <v>54</v>
      </c>
      <c r="E182" s="12">
        <v>1990</v>
      </c>
      <c r="F182" s="12" t="str">
        <f>IF(ISERROR(VLOOKUP(H182,[1]final!H:H,1,0)),"0","1")</f>
        <v>0</v>
      </c>
      <c r="G182" s="13" t="s">
        <v>32</v>
      </c>
      <c r="H182" s="13" t="s">
        <v>380</v>
      </c>
      <c r="I182" s="13" t="s">
        <v>381</v>
      </c>
    </row>
    <row r="183" s="9" customFormat="1" spans="1:9">
      <c r="A183" s="12">
        <v>182</v>
      </c>
      <c r="B183" s="9" t="s">
        <v>9</v>
      </c>
      <c r="C183" s="13" t="s">
        <v>278</v>
      </c>
      <c r="D183" s="13" t="s">
        <v>54</v>
      </c>
      <c r="E183" s="12">
        <v>2019</v>
      </c>
      <c r="F183" s="12" t="str">
        <f>IF(ISERROR(VLOOKUP(H183,[1]final!H:H,1,0)),"0","1")</f>
        <v>0</v>
      </c>
      <c r="G183" s="13" t="s">
        <v>382</v>
      </c>
      <c r="H183" s="13" t="s">
        <v>383</v>
      </c>
      <c r="I183" s="13" t="s">
        <v>384</v>
      </c>
    </row>
    <row r="184" s="9" customFormat="1" spans="1:9">
      <c r="A184" s="12">
        <v>183</v>
      </c>
      <c r="B184" s="9" t="s">
        <v>9</v>
      </c>
      <c r="C184" s="13" t="s">
        <v>278</v>
      </c>
      <c r="D184" s="13" t="s">
        <v>54</v>
      </c>
      <c r="E184" s="12">
        <v>2022</v>
      </c>
      <c r="F184" s="12" t="str">
        <f>IF(ISERROR(VLOOKUP(H184,[1]final!H:H,1,0)),"0","1")</f>
        <v>1</v>
      </c>
      <c r="G184" s="13"/>
      <c r="H184" s="13" t="s">
        <v>385</v>
      </c>
      <c r="I184" s="13" t="s">
        <v>386</v>
      </c>
    </row>
    <row r="185" s="9" customFormat="1" spans="1:9">
      <c r="A185" s="12">
        <v>184</v>
      </c>
      <c r="B185" s="9" t="s">
        <v>9</v>
      </c>
      <c r="C185" s="13" t="s">
        <v>278</v>
      </c>
      <c r="D185" s="13" t="s">
        <v>54</v>
      </c>
      <c r="E185" s="12">
        <v>2015</v>
      </c>
      <c r="F185" s="12" t="str">
        <f>IF(ISERROR(VLOOKUP(H185,[1]final!H:H,1,0)),"0","1")</f>
        <v>1</v>
      </c>
      <c r="G185" s="13"/>
      <c r="H185" s="13" t="s">
        <v>387</v>
      </c>
      <c r="I185" s="13" t="s">
        <v>388</v>
      </c>
    </row>
    <row r="186" s="9" customFormat="1" spans="1:9">
      <c r="A186" s="12">
        <v>185</v>
      </c>
      <c r="B186" s="9" t="s">
        <v>9</v>
      </c>
      <c r="C186" s="13" t="s">
        <v>278</v>
      </c>
      <c r="D186" s="13" t="s">
        <v>54</v>
      </c>
      <c r="E186" s="12">
        <v>2023</v>
      </c>
      <c r="F186" s="12" t="str">
        <f>IF(ISERROR(VLOOKUP(H186,[1]final!H:H,1,0)),"0","1")</f>
        <v>1</v>
      </c>
      <c r="G186" s="13"/>
      <c r="H186" s="13" t="s">
        <v>389</v>
      </c>
      <c r="I186" s="13" t="s">
        <v>390</v>
      </c>
    </row>
    <row r="187" s="9" customFormat="1" spans="1:9">
      <c r="A187" s="12">
        <v>186</v>
      </c>
      <c r="B187" s="9" t="s">
        <v>9</v>
      </c>
      <c r="C187" s="13" t="s">
        <v>278</v>
      </c>
      <c r="D187" s="13" t="s">
        <v>54</v>
      </c>
      <c r="E187" s="12">
        <v>2016</v>
      </c>
      <c r="F187" s="12" t="str">
        <f>IF(ISERROR(VLOOKUP(H187,[1]final!H:H,1,0)),"0","1")</f>
        <v>1</v>
      </c>
      <c r="G187" s="13"/>
      <c r="H187" s="13" t="s">
        <v>391</v>
      </c>
      <c r="I187" s="13" t="s">
        <v>392</v>
      </c>
    </row>
    <row r="188" s="9" customFormat="1" spans="1:9">
      <c r="A188" s="12">
        <v>187</v>
      </c>
      <c r="B188" s="9" t="s">
        <v>9</v>
      </c>
      <c r="C188" s="13" t="s">
        <v>278</v>
      </c>
      <c r="D188" s="13" t="s">
        <v>54</v>
      </c>
      <c r="E188" s="12">
        <v>2016</v>
      </c>
      <c r="F188" s="12" t="str">
        <f>IF(ISERROR(VLOOKUP(H188,[1]final!H:H,1,0)),"0","1")</f>
        <v>0</v>
      </c>
      <c r="G188" s="13" t="s">
        <v>382</v>
      </c>
      <c r="H188" s="13" t="s">
        <v>393</v>
      </c>
      <c r="I188" s="13" t="s">
        <v>394</v>
      </c>
    </row>
    <row r="189" s="9" customFormat="1" spans="1:9">
      <c r="A189" s="12">
        <v>188</v>
      </c>
      <c r="B189" s="9" t="s">
        <v>9</v>
      </c>
      <c r="C189" s="13" t="s">
        <v>278</v>
      </c>
      <c r="D189" s="13" t="s">
        <v>54</v>
      </c>
      <c r="E189" s="12">
        <v>2012</v>
      </c>
      <c r="F189" s="12" t="str">
        <f>IF(ISERROR(VLOOKUP(H189,[1]final!H:H,1,0)),"0","1")</f>
        <v>1</v>
      </c>
      <c r="G189" s="13"/>
      <c r="H189" s="13" t="s">
        <v>395</v>
      </c>
      <c r="I189" s="13" t="s">
        <v>396</v>
      </c>
    </row>
    <row r="190" s="9" customFormat="1" spans="1:9">
      <c r="A190" s="12">
        <v>189</v>
      </c>
      <c r="B190" s="9" t="s">
        <v>9</v>
      </c>
      <c r="C190" s="13" t="s">
        <v>278</v>
      </c>
      <c r="D190" s="13" t="s">
        <v>54</v>
      </c>
      <c r="E190" s="12">
        <v>2014</v>
      </c>
      <c r="F190" s="12" t="str">
        <f>IF(ISERROR(VLOOKUP(H190,[1]final!H:H,1,0)),"0","1")</f>
        <v>0</v>
      </c>
      <c r="G190" s="13" t="s">
        <v>16</v>
      </c>
      <c r="H190" s="13" t="s">
        <v>397</v>
      </c>
      <c r="I190" s="13" t="s">
        <v>398</v>
      </c>
    </row>
    <row r="191" s="9" customFormat="1" spans="1:9">
      <c r="A191" s="12">
        <v>190</v>
      </c>
      <c r="B191" s="9" t="s">
        <v>9</v>
      </c>
      <c r="C191" s="13" t="s">
        <v>278</v>
      </c>
      <c r="D191" s="13" t="s">
        <v>54</v>
      </c>
      <c r="E191" s="12">
        <v>2012</v>
      </c>
      <c r="F191" s="12" t="str">
        <f>IF(ISERROR(VLOOKUP(H191,[1]final!H:H,1,0)),"0","1")</f>
        <v>0</v>
      </c>
      <c r="G191" s="13" t="s">
        <v>16</v>
      </c>
      <c r="H191" s="13" t="s">
        <v>399</v>
      </c>
      <c r="I191" s="13" t="s">
        <v>400</v>
      </c>
    </row>
    <row r="192" s="9" customFormat="1" spans="1:9">
      <c r="A192" s="12">
        <v>191</v>
      </c>
      <c r="B192" s="9" t="s">
        <v>9</v>
      </c>
      <c r="C192" s="13" t="s">
        <v>278</v>
      </c>
      <c r="D192" s="13" t="s">
        <v>54</v>
      </c>
      <c r="E192" s="12">
        <v>2013</v>
      </c>
      <c r="F192" s="12" t="str">
        <f>IF(ISERROR(VLOOKUP(H192,[1]final!H:H,1,0)),"0","1")</f>
        <v>1</v>
      </c>
      <c r="G192" s="13"/>
      <c r="H192" s="13" t="s">
        <v>401</v>
      </c>
      <c r="I192" s="13" t="s">
        <v>402</v>
      </c>
    </row>
    <row r="193" s="9" customFormat="1" spans="1:9">
      <c r="A193" s="12">
        <v>192</v>
      </c>
      <c r="B193" s="9" t="s">
        <v>9</v>
      </c>
      <c r="C193" s="13" t="s">
        <v>278</v>
      </c>
      <c r="D193" s="13" t="s">
        <v>54</v>
      </c>
      <c r="E193" s="12">
        <v>2015</v>
      </c>
      <c r="F193" s="12" t="str">
        <f>IF(ISERROR(VLOOKUP(H193,[1]final!H:H,1,0)),"0","1")</f>
        <v>1</v>
      </c>
      <c r="G193" s="13"/>
      <c r="H193" s="13" t="s">
        <v>403</v>
      </c>
      <c r="I193" s="13" t="s">
        <v>404</v>
      </c>
    </row>
    <row r="194" s="9" customFormat="1" spans="1:9">
      <c r="A194" s="12">
        <v>193</v>
      </c>
      <c r="B194" s="9" t="s">
        <v>9</v>
      </c>
      <c r="C194" s="13" t="s">
        <v>278</v>
      </c>
      <c r="D194" s="13" t="s">
        <v>54</v>
      </c>
      <c r="E194" s="12">
        <v>2013</v>
      </c>
      <c r="F194" s="12" t="str">
        <f>IF(ISERROR(VLOOKUP(H194,[1]final!H:H,1,0)),"0","1")</f>
        <v>0</v>
      </c>
      <c r="G194" s="13" t="s">
        <v>16</v>
      </c>
      <c r="H194" s="13" t="s">
        <v>405</v>
      </c>
      <c r="I194" s="13" t="s">
        <v>406</v>
      </c>
    </row>
    <row r="195" s="9" customFormat="1" spans="1:9">
      <c r="A195" s="12">
        <v>194</v>
      </c>
      <c r="B195" s="9" t="s">
        <v>9</v>
      </c>
      <c r="C195" s="13" t="s">
        <v>278</v>
      </c>
      <c r="D195" s="13" t="s">
        <v>54</v>
      </c>
      <c r="E195" s="12">
        <v>2022</v>
      </c>
      <c r="F195" s="12" t="str">
        <f>IF(ISERROR(VLOOKUP(H195,[1]final!H:H,1,0)),"0","1")</f>
        <v>0</v>
      </c>
      <c r="G195" s="13" t="s">
        <v>16</v>
      </c>
      <c r="H195" s="13" t="s">
        <v>407</v>
      </c>
      <c r="I195" s="13" t="s">
        <v>408</v>
      </c>
    </row>
    <row r="196" s="9" customFormat="1" spans="1:9">
      <c r="A196" s="12">
        <v>195</v>
      </c>
      <c r="B196" s="9" t="s">
        <v>9</v>
      </c>
      <c r="C196" s="13" t="s">
        <v>278</v>
      </c>
      <c r="D196" s="13" t="s">
        <v>54</v>
      </c>
      <c r="E196" s="12">
        <v>2015</v>
      </c>
      <c r="F196" s="12" t="str">
        <f>IF(ISERROR(VLOOKUP(H196,[1]final!H:H,1,0)),"0","1")</f>
        <v>1</v>
      </c>
      <c r="G196" s="13"/>
      <c r="H196" s="13" t="s">
        <v>409</v>
      </c>
      <c r="I196" s="13" t="s">
        <v>410</v>
      </c>
    </row>
    <row r="197" s="9" customFormat="1" spans="1:9">
      <c r="A197" s="12">
        <v>196</v>
      </c>
      <c r="B197" s="9" t="s">
        <v>9</v>
      </c>
      <c r="C197" s="13" t="s">
        <v>278</v>
      </c>
      <c r="D197" s="13" t="s">
        <v>54</v>
      </c>
      <c r="E197" s="12">
        <v>2024</v>
      </c>
      <c r="F197" s="12" t="str">
        <f>IF(ISERROR(VLOOKUP(H197,[1]final!H:H,1,0)),"0","1")</f>
        <v>1</v>
      </c>
      <c r="G197" s="13"/>
      <c r="H197" s="13" t="s">
        <v>411</v>
      </c>
      <c r="I197" s="13" t="s">
        <v>412</v>
      </c>
    </row>
    <row r="198" s="9" customFormat="1" spans="1:9">
      <c r="A198" s="12">
        <v>197</v>
      </c>
      <c r="B198" s="9" t="s">
        <v>9</v>
      </c>
      <c r="C198" s="13" t="s">
        <v>278</v>
      </c>
      <c r="D198" s="13" t="s">
        <v>54</v>
      </c>
      <c r="E198" s="12">
        <v>2019</v>
      </c>
      <c r="F198" s="12" t="str">
        <f>IF(ISERROR(VLOOKUP(H198,[1]final!H:H,1,0)),"0","1")</f>
        <v>1</v>
      </c>
      <c r="G198" s="13"/>
      <c r="H198" s="13" t="s">
        <v>413</v>
      </c>
      <c r="I198" s="13" t="s">
        <v>414</v>
      </c>
    </row>
    <row r="199" s="9" customFormat="1" spans="1:9">
      <c r="A199" s="12">
        <v>198</v>
      </c>
      <c r="B199" s="9" t="s">
        <v>9</v>
      </c>
      <c r="C199" s="13" t="s">
        <v>278</v>
      </c>
      <c r="D199" s="13" t="s">
        <v>54</v>
      </c>
      <c r="E199" s="12">
        <v>2021</v>
      </c>
      <c r="F199" s="12" t="str">
        <f>IF(ISERROR(VLOOKUP(H199,[1]final!H:H,1,0)),"0","1")</f>
        <v>1</v>
      </c>
      <c r="G199" s="13"/>
      <c r="H199" s="13" t="s">
        <v>415</v>
      </c>
      <c r="I199" s="13" t="s">
        <v>416</v>
      </c>
    </row>
    <row r="200" s="9" customFormat="1" spans="1:9">
      <c r="A200" s="12">
        <v>199</v>
      </c>
      <c r="B200" s="9" t="s">
        <v>195</v>
      </c>
      <c r="C200" s="13" t="s">
        <v>278</v>
      </c>
      <c r="D200" s="13" t="s">
        <v>11</v>
      </c>
      <c r="E200" s="12">
        <v>2015</v>
      </c>
      <c r="F200" s="12" t="str">
        <f>IF(ISERROR(VLOOKUP(H200,[1]final!H:H,1,0)),"0","1")</f>
        <v>0</v>
      </c>
      <c r="G200" s="13" t="s">
        <v>19</v>
      </c>
      <c r="H200" s="13" t="s">
        <v>417</v>
      </c>
      <c r="I200" s="13" t="s">
        <v>418</v>
      </c>
    </row>
    <row r="201" s="9" customFormat="1" spans="1:9">
      <c r="A201" s="12">
        <v>200</v>
      </c>
      <c r="B201" s="9" t="s">
        <v>195</v>
      </c>
      <c r="C201" s="13" t="s">
        <v>278</v>
      </c>
      <c r="D201" s="13" t="s">
        <v>54</v>
      </c>
      <c r="E201" s="12">
        <v>1992</v>
      </c>
      <c r="F201" s="12" t="str">
        <f>IF(ISERROR(VLOOKUP(H201,[1]final!H:H,1,0)),"0","1")</f>
        <v>0</v>
      </c>
      <c r="G201" s="13" t="s">
        <v>32</v>
      </c>
      <c r="H201" s="13" t="s">
        <v>419</v>
      </c>
      <c r="I201" s="13" t="s">
        <v>420</v>
      </c>
    </row>
    <row r="202" s="9" customFormat="1" spans="1:9">
      <c r="A202" s="12">
        <v>201</v>
      </c>
      <c r="B202" s="9" t="s">
        <v>195</v>
      </c>
      <c r="C202" s="13" t="s">
        <v>278</v>
      </c>
      <c r="D202" s="13" t="s">
        <v>54</v>
      </c>
      <c r="E202" s="12">
        <v>1999</v>
      </c>
      <c r="F202" s="12" t="str">
        <f>IF(ISERROR(VLOOKUP(H202,[1]final!H:H,1,0)),"0","1")</f>
        <v>0</v>
      </c>
      <c r="G202" s="13" t="s">
        <v>32</v>
      </c>
      <c r="H202" s="13" t="s">
        <v>421</v>
      </c>
      <c r="I202" s="13" t="s">
        <v>422</v>
      </c>
    </row>
    <row r="203" s="9" customFormat="1" spans="1:9">
      <c r="A203" s="12">
        <v>202</v>
      </c>
      <c r="B203" s="9" t="s">
        <v>195</v>
      </c>
      <c r="C203" s="13" t="s">
        <v>278</v>
      </c>
      <c r="D203" s="13" t="s">
        <v>54</v>
      </c>
      <c r="E203" s="12">
        <v>2005</v>
      </c>
      <c r="F203" s="12" t="str">
        <f>IF(ISERROR(VLOOKUP(H203,[1]final!H:H,1,0)),"0","1")</f>
        <v>0</v>
      </c>
      <c r="G203" s="13" t="s">
        <v>32</v>
      </c>
      <c r="H203" s="13" t="s">
        <v>423</v>
      </c>
      <c r="I203" s="13" t="s">
        <v>424</v>
      </c>
    </row>
    <row r="204" s="9" customFormat="1" spans="1:9">
      <c r="A204" s="12">
        <v>203</v>
      </c>
      <c r="B204" s="9" t="s">
        <v>195</v>
      </c>
      <c r="C204" s="13" t="s">
        <v>278</v>
      </c>
      <c r="D204" s="13" t="s">
        <v>54</v>
      </c>
      <c r="E204" s="12">
        <v>2012</v>
      </c>
      <c r="F204" s="12" t="str">
        <f>IF(ISERROR(VLOOKUP(H204,[1]final!H:H,1,0)),"0","1")</f>
        <v>0</v>
      </c>
      <c r="G204" s="13" t="s">
        <v>19</v>
      </c>
      <c r="H204" s="13" t="s">
        <v>425</v>
      </c>
      <c r="I204" s="13" t="s">
        <v>426</v>
      </c>
    </row>
    <row r="205" s="9" customFormat="1" spans="1:9">
      <c r="A205" s="12">
        <v>204</v>
      </c>
      <c r="B205" s="9" t="s">
        <v>195</v>
      </c>
      <c r="C205" s="13" t="s">
        <v>278</v>
      </c>
      <c r="D205" s="13" t="s">
        <v>54</v>
      </c>
      <c r="E205" s="12">
        <v>2008</v>
      </c>
      <c r="F205" s="12" t="str">
        <f>IF(ISERROR(VLOOKUP(H205,[1]final!H:H,1,0)),"0","1")</f>
        <v>0</v>
      </c>
      <c r="G205" s="13" t="s">
        <v>32</v>
      </c>
      <c r="H205" s="13" t="s">
        <v>427</v>
      </c>
      <c r="I205" s="13" t="s">
        <v>428</v>
      </c>
    </row>
    <row r="206" s="9" customFormat="1" spans="1:9">
      <c r="A206" s="12">
        <v>205</v>
      </c>
      <c r="B206" s="9" t="s">
        <v>195</v>
      </c>
      <c r="C206" s="13" t="s">
        <v>278</v>
      </c>
      <c r="D206" s="13" t="s">
        <v>54</v>
      </c>
      <c r="E206" s="12">
        <v>1987</v>
      </c>
      <c r="F206" s="12" t="str">
        <f>IF(ISERROR(VLOOKUP(H206,[1]final!H:H,1,0)),"0","1")</f>
        <v>0</v>
      </c>
      <c r="G206" s="13" t="s">
        <v>32</v>
      </c>
      <c r="H206" s="13" t="s">
        <v>429</v>
      </c>
      <c r="I206" s="13" t="s">
        <v>430</v>
      </c>
    </row>
    <row r="207" s="9" customFormat="1" spans="1:9">
      <c r="A207" s="12">
        <v>206</v>
      </c>
      <c r="B207" s="9" t="s">
        <v>195</v>
      </c>
      <c r="C207" s="13" t="s">
        <v>278</v>
      </c>
      <c r="D207" s="13" t="s">
        <v>54</v>
      </c>
      <c r="E207" s="12">
        <v>2015</v>
      </c>
      <c r="F207" s="12" t="str">
        <f>IF(ISERROR(VLOOKUP(H207,[1]final!H:H,1,0)),"0","1")</f>
        <v>0</v>
      </c>
      <c r="G207" s="13" t="s">
        <v>19</v>
      </c>
      <c r="H207" s="13" t="s">
        <v>431</v>
      </c>
      <c r="I207" s="13" t="s">
        <v>432</v>
      </c>
    </row>
    <row r="208" s="9" customFormat="1" spans="1:9">
      <c r="A208" s="12">
        <v>207</v>
      </c>
      <c r="B208" s="9" t="s">
        <v>195</v>
      </c>
      <c r="C208" s="13" t="s">
        <v>278</v>
      </c>
      <c r="D208" s="13" t="s">
        <v>54</v>
      </c>
      <c r="E208" s="12">
        <v>2022</v>
      </c>
      <c r="F208" s="12" t="str">
        <f>IF(ISERROR(VLOOKUP(H208,[1]final!H:H,1,0)),"0","1")</f>
        <v>0</v>
      </c>
      <c r="G208" s="13" t="s">
        <v>228</v>
      </c>
      <c r="H208" s="13" t="s">
        <v>433</v>
      </c>
      <c r="I208" s="13"/>
    </row>
    <row r="209" s="9" customFormat="1" spans="1:9">
      <c r="A209" s="12">
        <v>208</v>
      </c>
      <c r="B209" s="9" t="s">
        <v>195</v>
      </c>
      <c r="C209" s="13" t="s">
        <v>278</v>
      </c>
      <c r="D209" s="13" t="s">
        <v>54</v>
      </c>
      <c r="E209" s="12">
        <v>2023</v>
      </c>
      <c r="F209" s="12" t="str">
        <f>IF(ISERROR(VLOOKUP(H209,[1]final!H:H,1,0)),"0","1")</f>
        <v>0</v>
      </c>
      <c r="G209" s="13" t="s">
        <v>19</v>
      </c>
      <c r="H209" s="13" t="s">
        <v>434</v>
      </c>
      <c r="I209" s="13" t="s">
        <v>435</v>
      </c>
    </row>
    <row r="210" s="9" customFormat="1" spans="1:9">
      <c r="A210" s="12">
        <v>209</v>
      </c>
      <c r="B210" s="9" t="s">
        <v>195</v>
      </c>
      <c r="C210" s="13" t="s">
        <v>278</v>
      </c>
      <c r="D210" s="13" t="s">
        <v>54</v>
      </c>
      <c r="E210" s="12">
        <v>2023</v>
      </c>
      <c r="F210" s="12" t="str">
        <f>IF(ISERROR(VLOOKUP(H210,[1]final!H:H,1,0)),"0","1")</f>
        <v>0</v>
      </c>
      <c r="G210" s="13" t="s">
        <v>19</v>
      </c>
      <c r="H210" s="13" t="s">
        <v>436</v>
      </c>
      <c r="I210" s="13" t="s">
        <v>437</v>
      </c>
    </row>
    <row r="211" s="9" customFormat="1" spans="1:9">
      <c r="A211" s="12">
        <v>210</v>
      </c>
      <c r="B211" s="9" t="s">
        <v>195</v>
      </c>
      <c r="C211" s="13" t="s">
        <v>278</v>
      </c>
      <c r="D211" s="13" t="s">
        <v>54</v>
      </c>
      <c r="E211" s="12">
        <v>2015</v>
      </c>
      <c r="F211" s="12" t="str">
        <f>IF(ISERROR(VLOOKUP(H211,[1]final!H:H,1,0)),"0","1")</f>
        <v>0</v>
      </c>
      <c r="G211" s="13" t="s">
        <v>19</v>
      </c>
      <c r="H211" s="13" t="s">
        <v>438</v>
      </c>
      <c r="I211" s="13" t="s">
        <v>439</v>
      </c>
    </row>
    <row r="212" s="9" customFormat="1" spans="1:9">
      <c r="A212" s="12">
        <v>211</v>
      </c>
      <c r="B212" s="9" t="s">
        <v>195</v>
      </c>
      <c r="C212" s="13" t="s">
        <v>278</v>
      </c>
      <c r="D212" s="13" t="s">
        <v>54</v>
      </c>
      <c r="E212" s="12">
        <v>2011</v>
      </c>
      <c r="F212" s="12" t="str">
        <f>IF(ISERROR(VLOOKUP(H212,[1]final!H:H,1,0)),"0","1")</f>
        <v>0</v>
      </c>
      <c r="G212" s="13" t="s">
        <v>19</v>
      </c>
      <c r="H212" s="13" t="s">
        <v>440</v>
      </c>
      <c r="I212" s="13" t="s">
        <v>441</v>
      </c>
    </row>
    <row r="213" s="9" customFormat="1" spans="1:9">
      <c r="A213" s="12">
        <v>212</v>
      </c>
      <c r="B213" s="9" t="s">
        <v>195</v>
      </c>
      <c r="C213" s="13" t="s">
        <v>278</v>
      </c>
      <c r="D213" s="13" t="s">
        <v>54</v>
      </c>
      <c r="E213" s="12">
        <v>2019</v>
      </c>
      <c r="F213" s="12" t="str">
        <f>IF(ISERROR(VLOOKUP(H213,[1]final!H:H,1,0)),"0","1")</f>
        <v>0</v>
      </c>
      <c r="G213" s="13" t="s">
        <v>19</v>
      </c>
      <c r="H213" s="13" t="s">
        <v>442</v>
      </c>
      <c r="I213" s="13" t="s">
        <v>443</v>
      </c>
    </row>
    <row r="214" s="9" customFormat="1" spans="1:9">
      <c r="A214" s="12">
        <v>213</v>
      </c>
      <c r="B214" s="9" t="s">
        <v>195</v>
      </c>
      <c r="C214" s="13" t="s">
        <v>278</v>
      </c>
      <c r="D214" s="13" t="s">
        <v>54</v>
      </c>
      <c r="E214" s="12">
        <v>2021</v>
      </c>
      <c r="F214" s="12" t="str">
        <f>IF(ISERROR(VLOOKUP(H214,[1]final!H:H,1,0)),"0","1")</f>
        <v>0</v>
      </c>
      <c r="G214" s="13" t="s">
        <v>19</v>
      </c>
      <c r="H214" s="13" t="s">
        <v>444</v>
      </c>
      <c r="I214" s="13" t="s">
        <v>445</v>
      </c>
    </row>
    <row r="215" s="9" customFormat="1" spans="1:9">
      <c r="A215" s="12">
        <v>214</v>
      </c>
      <c r="B215" s="9" t="s">
        <v>195</v>
      </c>
      <c r="C215" s="13" t="s">
        <v>278</v>
      </c>
      <c r="D215" s="13" t="s">
        <v>54</v>
      </c>
      <c r="E215" s="12">
        <v>2023</v>
      </c>
      <c r="F215" s="12" t="str">
        <f>IF(ISERROR(VLOOKUP(H215,[1]final!H:H,1,0)),"0","1")</f>
        <v>0</v>
      </c>
      <c r="G215" s="13" t="s">
        <v>19</v>
      </c>
      <c r="H215" s="13" t="s">
        <v>446</v>
      </c>
      <c r="I215" s="13" t="s">
        <v>447</v>
      </c>
    </row>
    <row r="216" s="9" customFormat="1" spans="1:9">
      <c r="A216" s="12">
        <v>215</v>
      </c>
      <c r="B216" s="9" t="s">
        <v>195</v>
      </c>
      <c r="C216" s="13" t="s">
        <v>278</v>
      </c>
      <c r="D216" s="13" t="s">
        <v>54</v>
      </c>
      <c r="E216" s="12">
        <v>2024</v>
      </c>
      <c r="F216" s="12" t="str">
        <f>IF(ISERROR(VLOOKUP(H216,[1]final!H:H,1,0)),"0","1")</f>
        <v>0</v>
      </c>
      <c r="G216" s="13" t="s">
        <v>19</v>
      </c>
      <c r="H216" s="13" t="s">
        <v>448</v>
      </c>
      <c r="I216" s="13" t="s">
        <v>449</v>
      </c>
    </row>
    <row r="217" s="9" customFormat="1" spans="1:9">
      <c r="A217" s="12">
        <v>216</v>
      </c>
      <c r="B217" s="9" t="s">
        <v>195</v>
      </c>
      <c r="C217" s="13" t="s">
        <v>278</v>
      </c>
      <c r="D217" s="13" t="s">
        <v>54</v>
      </c>
      <c r="E217" s="12">
        <v>2005</v>
      </c>
      <c r="F217" s="12" t="str">
        <f>IF(ISERROR(VLOOKUP(H217,[1]final!H:H,1,0)),"0","1")</f>
        <v>0</v>
      </c>
      <c r="G217" s="13" t="s">
        <v>32</v>
      </c>
      <c r="H217" s="13" t="s">
        <v>450</v>
      </c>
      <c r="I217" s="13" t="s">
        <v>451</v>
      </c>
    </row>
    <row r="218" s="9" customFormat="1" spans="1:9">
      <c r="A218" s="12">
        <v>217</v>
      </c>
      <c r="B218" s="9" t="s">
        <v>223</v>
      </c>
      <c r="C218" s="13" t="s">
        <v>278</v>
      </c>
      <c r="D218" s="13" t="s">
        <v>54</v>
      </c>
      <c r="E218" s="12">
        <v>2023</v>
      </c>
      <c r="F218" s="12" t="str">
        <f>IF(ISERROR(VLOOKUP(H218,[1]final!H:H,1,0)),"0","1")</f>
        <v>0</v>
      </c>
      <c r="G218" s="13" t="s">
        <v>228</v>
      </c>
      <c r="H218" s="13" t="s">
        <v>452</v>
      </c>
      <c r="I218" s="13" t="s">
        <v>453</v>
      </c>
    </row>
    <row r="219" s="9" customFormat="1" spans="1:9">
      <c r="A219" s="12">
        <v>218</v>
      </c>
      <c r="B219" s="9" t="s">
        <v>223</v>
      </c>
      <c r="C219" s="13" t="s">
        <v>278</v>
      </c>
      <c r="D219" s="13" t="s">
        <v>54</v>
      </c>
      <c r="E219" s="12">
        <v>2023</v>
      </c>
      <c r="F219" s="12" t="str">
        <f>IF(ISERROR(VLOOKUP(H219,[1]final!H:H,1,0)),"0","1")</f>
        <v>0</v>
      </c>
      <c r="G219" s="13" t="s">
        <v>228</v>
      </c>
      <c r="H219" s="13" t="s">
        <v>454</v>
      </c>
      <c r="I219" s="13" t="s">
        <v>455</v>
      </c>
    </row>
    <row r="220" s="9" customFormat="1" spans="1:9">
      <c r="A220" s="12">
        <v>219</v>
      </c>
      <c r="B220" s="9" t="s">
        <v>223</v>
      </c>
      <c r="C220" s="13" t="s">
        <v>278</v>
      </c>
      <c r="D220" s="13" t="s">
        <v>54</v>
      </c>
      <c r="E220" s="12">
        <v>2021</v>
      </c>
      <c r="F220" s="12" t="str">
        <f>IF(ISERROR(VLOOKUP(H220,[1]final!H:H,1,0)),"0","1")</f>
        <v>0</v>
      </c>
      <c r="G220" s="13" t="s">
        <v>228</v>
      </c>
      <c r="H220" s="13" t="s">
        <v>456</v>
      </c>
      <c r="I220" s="13" t="s">
        <v>457</v>
      </c>
    </row>
    <row r="221" s="9" customFormat="1" spans="1:9">
      <c r="A221" s="12">
        <v>220</v>
      </c>
      <c r="B221" s="9" t="s">
        <v>223</v>
      </c>
      <c r="C221" s="13" t="s">
        <v>278</v>
      </c>
      <c r="D221" s="13" t="s">
        <v>54</v>
      </c>
      <c r="E221" s="12">
        <v>2007</v>
      </c>
      <c r="F221" s="12" t="str">
        <f>IF(ISERROR(VLOOKUP(H221,[1]final!H:H,1,0)),"0","1")</f>
        <v>0</v>
      </c>
      <c r="G221" s="13" t="s">
        <v>32</v>
      </c>
      <c r="H221" s="13" t="s">
        <v>458</v>
      </c>
      <c r="I221" s="13" t="s">
        <v>459</v>
      </c>
    </row>
    <row r="222" s="9" customFormat="1" spans="1:9">
      <c r="A222" s="12">
        <v>221</v>
      </c>
      <c r="B222" s="9" t="s">
        <v>223</v>
      </c>
      <c r="C222" s="13" t="s">
        <v>278</v>
      </c>
      <c r="D222" s="13" t="s">
        <v>54</v>
      </c>
      <c r="E222" s="12">
        <v>1993</v>
      </c>
      <c r="F222" s="12" t="str">
        <f>IF(ISERROR(VLOOKUP(H222,[1]final!H:H,1,0)),"0","1")</f>
        <v>0</v>
      </c>
      <c r="G222" s="13" t="s">
        <v>32</v>
      </c>
      <c r="H222" s="13" t="s">
        <v>460</v>
      </c>
      <c r="I222" s="13"/>
    </row>
    <row r="223" s="9" customFormat="1" spans="1:9">
      <c r="A223" s="12">
        <v>222</v>
      </c>
      <c r="B223" s="9" t="s">
        <v>223</v>
      </c>
      <c r="C223" s="13" t="s">
        <v>278</v>
      </c>
      <c r="D223" s="13" t="s">
        <v>54</v>
      </c>
      <c r="E223" s="12">
        <v>1996</v>
      </c>
      <c r="F223" s="12" t="str">
        <f>IF(ISERROR(VLOOKUP(H223,[1]final!H:H,1,0)),"0","1")</f>
        <v>0</v>
      </c>
      <c r="G223" s="13" t="s">
        <v>32</v>
      </c>
      <c r="H223" s="13" t="s">
        <v>461</v>
      </c>
      <c r="I223" s="13" t="s">
        <v>462</v>
      </c>
    </row>
    <row r="224" s="9" customFormat="1" spans="1:9">
      <c r="A224" s="12">
        <v>223</v>
      </c>
      <c r="B224" s="9" t="s">
        <v>223</v>
      </c>
      <c r="C224" s="13" t="s">
        <v>278</v>
      </c>
      <c r="D224" s="13" t="s">
        <v>54</v>
      </c>
      <c r="E224" s="12">
        <v>1997</v>
      </c>
      <c r="F224" s="12" t="str">
        <f>IF(ISERROR(VLOOKUP(H224,[1]final!H:H,1,0)),"0","1")</f>
        <v>0</v>
      </c>
      <c r="G224" s="13" t="s">
        <v>32</v>
      </c>
      <c r="H224" s="13" t="s">
        <v>463</v>
      </c>
      <c r="I224" s="13" t="s">
        <v>464</v>
      </c>
    </row>
    <row r="225" s="9" customFormat="1" spans="1:9">
      <c r="A225" s="12">
        <v>224</v>
      </c>
      <c r="B225" s="9" t="s">
        <v>223</v>
      </c>
      <c r="C225" s="13" t="s">
        <v>278</v>
      </c>
      <c r="D225" s="13" t="s">
        <v>121</v>
      </c>
      <c r="E225" s="12">
        <v>1992</v>
      </c>
      <c r="F225" s="12" t="str">
        <f>IF(ISERROR(VLOOKUP(H225,[1]final!H:H,1,0)),"0","1")</f>
        <v>0</v>
      </c>
      <c r="G225" s="13" t="s">
        <v>32</v>
      </c>
      <c r="H225" s="13" t="s">
        <v>465</v>
      </c>
      <c r="I225" s="13" t="s">
        <v>466</v>
      </c>
    </row>
    <row r="226" s="9" customFormat="1" spans="1:9">
      <c r="A226" s="12">
        <v>225</v>
      </c>
      <c r="B226" s="9" t="s">
        <v>223</v>
      </c>
      <c r="C226" s="13" t="s">
        <v>278</v>
      </c>
      <c r="D226" s="13" t="s">
        <v>54</v>
      </c>
      <c r="E226" s="12">
        <v>2000</v>
      </c>
      <c r="F226" s="12" t="str">
        <f>IF(ISERROR(VLOOKUP(H226,[1]final!H:H,1,0)),"0","1")</f>
        <v>0</v>
      </c>
      <c r="G226" s="13" t="s">
        <v>32</v>
      </c>
      <c r="H226" s="13" t="s">
        <v>467</v>
      </c>
      <c r="I226" s="13" t="s">
        <v>468</v>
      </c>
    </row>
    <row r="227" s="9" customFormat="1" spans="1:9">
      <c r="A227" s="12">
        <v>226</v>
      </c>
      <c r="B227" s="9" t="s">
        <v>223</v>
      </c>
      <c r="C227" s="13" t="s">
        <v>278</v>
      </c>
      <c r="D227" s="13" t="s">
        <v>54</v>
      </c>
      <c r="E227" s="12">
        <v>2022</v>
      </c>
      <c r="F227" s="12" t="str">
        <f>IF(ISERROR(VLOOKUP(H227,[1]final!H:H,1,0)),"0","1")</f>
        <v>0</v>
      </c>
      <c r="G227" s="13" t="s">
        <v>228</v>
      </c>
      <c r="H227" s="13" t="s">
        <v>469</v>
      </c>
      <c r="I227" s="13"/>
    </row>
    <row r="228" s="9" customFormat="1" spans="1:9">
      <c r="A228" s="12">
        <v>227</v>
      </c>
      <c r="B228" s="9" t="s">
        <v>223</v>
      </c>
      <c r="C228" s="13" t="s">
        <v>278</v>
      </c>
      <c r="D228" s="13" t="s">
        <v>54</v>
      </c>
      <c r="E228" s="12">
        <v>2006</v>
      </c>
      <c r="F228" s="12" t="str">
        <f>IF(ISERROR(VLOOKUP(H228,[1]final!H:H,1,0)),"0","1")</f>
        <v>0</v>
      </c>
      <c r="G228" s="13" t="s">
        <v>32</v>
      </c>
      <c r="H228" s="13" t="s">
        <v>470</v>
      </c>
      <c r="I228" s="13" t="s">
        <v>471</v>
      </c>
    </row>
    <row r="229" s="9" customFormat="1" spans="1:9">
      <c r="A229" s="12">
        <v>228</v>
      </c>
      <c r="B229" s="9" t="s">
        <v>223</v>
      </c>
      <c r="C229" s="13" t="s">
        <v>278</v>
      </c>
      <c r="D229" s="13" t="s">
        <v>54</v>
      </c>
      <c r="E229" s="12">
        <v>2016</v>
      </c>
      <c r="F229" s="12" t="str">
        <f>IF(ISERROR(VLOOKUP(H229,[1]final!H:H,1,0)),"0","1")</f>
        <v>0</v>
      </c>
      <c r="G229" s="13" t="s">
        <v>228</v>
      </c>
      <c r="H229" s="13" t="s">
        <v>472</v>
      </c>
      <c r="I229" s="13" t="s">
        <v>473</v>
      </c>
    </row>
    <row r="230" s="9" customFormat="1" spans="1:9">
      <c r="A230" s="12">
        <v>229</v>
      </c>
      <c r="B230" s="9" t="s">
        <v>223</v>
      </c>
      <c r="C230" s="13" t="s">
        <v>278</v>
      </c>
      <c r="D230" s="13" t="s">
        <v>54</v>
      </c>
      <c r="E230" s="12">
        <v>2024</v>
      </c>
      <c r="F230" s="12" t="str">
        <f>IF(ISERROR(VLOOKUP(H230,[1]final!H:H,1,0)),"0","1")</f>
        <v>0</v>
      </c>
      <c r="G230" s="13" t="s">
        <v>228</v>
      </c>
      <c r="H230" s="13" t="s">
        <v>474</v>
      </c>
      <c r="I230" s="13" t="s">
        <v>475</v>
      </c>
    </row>
    <row r="231" s="9" customFormat="1" spans="1:9">
      <c r="A231" s="12">
        <v>230</v>
      </c>
      <c r="B231" s="9" t="s">
        <v>223</v>
      </c>
      <c r="C231" s="13" t="s">
        <v>278</v>
      </c>
      <c r="D231" s="13" t="s">
        <v>54</v>
      </c>
      <c r="E231" s="12">
        <v>2024</v>
      </c>
      <c r="F231" s="12" t="str">
        <f>IF(ISERROR(VLOOKUP(H231,[1]final!H:H,1,0)),"0","1")</f>
        <v>0</v>
      </c>
      <c r="G231" s="13" t="s">
        <v>228</v>
      </c>
      <c r="H231" s="13" t="s">
        <v>476</v>
      </c>
      <c r="I231" s="13" t="s">
        <v>477</v>
      </c>
    </row>
    <row r="232" s="9" customFormat="1" spans="1:9">
      <c r="A232" s="12">
        <v>231</v>
      </c>
      <c r="B232" s="9" t="s">
        <v>223</v>
      </c>
      <c r="C232" s="13" t="s">
        <v>278</v>
      </c>
      <c r="D232" s="13" t="s">
        <v>54</v>
      </c>
      <c r="E232" s="12">
        <v>2004</v>
      </c>
      <c r="F232" s="12" t="str">
        <f>IF(ISERROR(VLOOKUP(H232,[1]final!H:H,1,0)),"0","1")</f>
        <v>0</v>
      </c>
      <c r="G232" s="13" t="s">
        <v>32</v>
      </c>
      <c r="H232" s="13" t="s">
        <v>478</v>
      </c>
      <c r="I232" s="13" t="s">
        <v>479</v>
      </c>
    </row>
    <row r="233" s="9" customFormat="1" spans="1:9">
      <c r="A233" s="12">
        <v>232</v>
      </c>
      <c r="B233" s="9" t="s">
        <v>223</v>
      </c>
      <c r="C233" s="13" t="s">
        <v>278</v>
      </c>
      <c r="D233" s="13" t="s">
        <v>54</v>
      </c>
      <c r="E233" s="12">
        <v>2023</v>
      </c>
      <c r="F233" s="12" t="str">
        <f>IF(ISERROR(VLOOKUP(H233,[1]final!H:H,1,0)),"0","1")</f>
        <v>0</v>
      </c>
      <c r="G233" s="13" t="s">
        <v>228</v>
      </c>
      <c r="H233" s="13" t="s">
        <v>480</v>
      </c>
      <c r="I233" s="13" t="s">
        <v>481</v>
      </c>
    </row>
    <row r="234" s="9" customFormat="1" spans="1:9">
      <c r="A234" s="12">
        <v>233</v>
      </c>
      <c r="B234" s="9" t="s">
        <v>223</v>
      </c>
      <c r="C234" s="13" t="s">
        <v>278</v>
      </c>
      <c r="D234" s="13" t="s">
        <v>54</v>
      </c>
      <c r="E234" s="12">
        <v>2025</v>
      </c>
      <c r="F234" s="12" t="str">
        <f>IF(ISERROR(VLOOKUP(H234,[1]final!H:H,1,0)),"0","1")</f>
        <v>0</v>
      </c>
      <c r="G234" s="13" t="s">
        <v>228</v>
      </c>
      <c r="H234" s="13" t="s">
        <v>482</v>
      </c>
      <c r="I234" s="13" t="s">
        <v>483</v>
      </c>
    </row>
    <row r="235" s="9" customFormat="1" spans="1:9">
      <c r="A235" s="12">
        <v>234</v>
      </c>
      <c r="B235" s="9" t="s">
        <v>223</v>
      </c>
      <c r="C235" s="13" t="s">
        <v>278</v>
      </c>
      <c r="D235" s="13" t="s">
        <v>54</v>
      </c>
      <c r="E235" s="12">
        <v>2021</v>
      </c>
      <c r="F235" s="12" t="str">
        <f>IF(ISERROR(VLOOKUP(H235,[1]final!H:H,1,0)),"0","1")</f>
        <v>0</v>
      </c>
      <c r="G235" s="13" t="s">
        <v>228</v>
      </c>
      <c r="H235" s="13" t="s">
        <v>484</v>
      </c>
      <c r="I235" s="13"/>
    </row>
    <row r="236" s="9" customFormat="1" spans="1:9">
      <c r="A236" s="12">
        <v>235</v>
      </c>
      <c r="B236" s="9" t="s">
        <v>223</v>
      </c>
      <c r="C236" s="13" t="s">
        <v>278</v>
      </c>
      <c r="D236" s="13" t="s">
        <v>54</v>
      </c>
      <c r="E236" s="12">
        <v>2012</v>
      </c>
      <c r="F236" s="12" t="str">
        <f>IF(ISERROR(VLOOKUP(H236,[1]final!H:H,1,0)),"0","1")</f>
        <v>0</v>
      </c>
      <c r="G236" s="13" t="s">
        <v>228</v>
      </c>
      <c r="H236" s="13" t="s">
        <v>485</v>
      </c>
      <c r="I236" s="13" t="s">
        <v>486</v>
      </c>
    </row>
    <row r="237" s="9" customFormat="1" spans="1:9">
      <c r="A237" s="12">
        <v>236</v>
      </c>
      <c r="B237" s="9" t="s">
        <v>223</v>
      </c>
      <c r="C237" s="13" t="s">
        <v>278</v>
      </c>
      <c r="D237" s="13" t="s">
        <v>54</v>
      </c>
      <c r="E237" s="12">
        <v>2011</v>
      </c>
      <c r="F237" s="12" t="str">
        <f>IF(ISERROR(VLOOKUP(H237,[1]final!H:H,1,0)),"0","1")</f>
        <v>0</v>
      </c>
      <c r="G237" s="13" t="s">
        <v>228</v>
      </c>
      <c r="H237" s="13" t="s">
        <v>487</v>
      </c>
      <c r="I237" s="13" t="s">
        <v>488</v>
      </c>
    </row>
    <row r="238" s="9" customFormat="1" spans="1:9">
      <c r="A238" s="12">
        <v>237</v>
      </c>
      <c r="B238" s="9" t="s">
        <v>223</v>
      </c>
      <c r="C238" s="13" t="s">
        <v>278</v>
      </c>
      <c r="D238" s="13" t="s">
        <v>54</v>
      </c>
      <c r="E238" s="12">
        <v>2023</v>
      </c>
      <c r="F238" s="12" t="str">
        <f>IF(ISERROR(VLOOKUP(H238,[1]final!H:H,1,0)),"0","1")</f>
        <v>0</v>
      </c>
      <c r="G238" s="13" t="s">
        <v>228</v>
      </c>
      <c r="H238" s="13" t="s">
        <v>489</v>
      </c>
      <c r="I238" s="13" t="s">
        <v>490</v>
      </c>
    </row>
    <row r="239" s="9" customFormat="1" spans="1:9">
      <c r="A239" s="12">
        <v>238</v>
      </c>
      <c r="B239" s="9" t="s">
        <v>223</v>
      </c>
      <c r="C239" s="13" t="s">
        <v>278</v>
      </c>
      <c r="D239" s="13" t="s">
        <v>54</v>
      </c>
      <c r="E239" s="12">
        <v>2023</v>
      </c>
      <c r="F239" s="12" t="str">
        <f>IF(ISERROR(VLOOKUP(H239,[1]final!H:H,1,0)),"0","1")</f>
        <v>0</v>
      </c>
      <c r="G239" s="13" t="s">
        <v>228</v>
      </c>
      <c r="H239" s="13" t="s">
        <v>491</v>
      </c>
      <c r="I239" s="13" t="s">
        <v>492</v>
      </c>
    </row>
    <row r="240" s="9" customFormat="1" spans="1:9">
      <c r="A240" s="12">
        <v>239</v>
      </c>
      <c r="B240" s="9" t="s">
        <v>223</v>
      </c>
      <c r="C240" s="13" t="s">
        <v>278</v>
      </c>
      <c r="D240" s="13" t="s">
        <v>54</v>
      </c>
      <c r="E240" s="12">
        <v>2013</v>
      </c>
      <c r="F240" s="12" t="str">
        <f>IF(ISERROR(VLOOKUP(H240,[1]final!H:H,1,0)),"0","1")</f>
        <v>0</v>
      </c>
      <c r="G240" s="13" t="s">
        <v>228</v>
      </c>
      <c r="H240" s="13" t="s">
        <v>493</v>
      </c>
      <c r="I240" s="13" t="s">
        <v>494</v>
      </c>
    </row>
    <row r="241" s="9" customFormat="1" spans="1:9">
      <c r="A241" s="12">
        <v>240</v>
      </c>
      <c r="B241" s="9" t="s">
        <v>223</v>
      </c>
      <c r="C241" s="13" t="s">
        <v>278</v>
      </c>
      <c r="D241" s="13" t="s">
        <v>54</v>
      </c>
      <c r="E241" s="12">
        <v>2022</v>
      </c>
      <c r="F241" s="12" t="str">
        <f>IF(ISERROR(VLOOKUP(H241,[1]final!H:H,1,0)),"0","1")</f>
        <v>0</v>
      </c>
      <c r="G241" s="13" t="s">
        <v>228</v>
      </c>
      <c r="H241" s="13" t="s">
        <v>495</v>
      </c>
      <c r="I241" s="13" t="s">
        <v>496</v>
      </c>
    </row>
    <row r="242" s="9" customFormat="1" spans="1:9">
      <c r="A242" s="12">
        <v>241</v>
      </c>
      <c r="B242" s="9" t="s">
        <v>223</v>
      </c>
      <c r="C242" s="13" t="s">
        <v>278</v>
      </c>
      <c r="D242" s="13" t="s">
        <v>54</v>
      </c>
      <c r="E242" s="12">
        <v>2024</v>
      </c>
      <c r="F242" s="12" t="str">
        <f>IF(ISERROR(VLOOKUP(H242,[1]final!H:H,1,0)),"0","1")</f>
        <v>0</v>
      </c>
      <c r="G242" s="13" t="s">
        <v>228</v>
      </c>
      <c r="H242" s="13" t="s">
        <v>497</v>
      </c>
      <c r="I242" s="13" t="s">
        <v>498</v>
      </c>
    </row>
    <row r="243" s="9" customFormat="1" spans="1:9">
      <c r="A243" s="12">
        <v>242</v>
      </c>
      <c r="B243" s="9" t="s">
        <v>223</v>
      </c>
      <c r="C243" s="13" t="s">
        <v>278</v>
      </c>
      <c r="D243" s="13" t="s">
        <v>54</v>
      </c>
      <c r="E243" s="12">
        <v>2020</v>
      </c>
      <c r="F243" s="12" t="str">
        <f>IF(ISERROR(VLOOKUP(H243,[1]final!H:H,1,0)),"0","1")</f>
        <v>0</v>
      </c>
      <c r="G243" s="13" t="s">
        <v>228</v>
      </c>
      <c r="H243" s="13" t="s">
        <v>499</v>
      </c>
      <c r="I243" s="13" t="s">
        <v>500</v>
      </c>
    </row>
    <row r="244" s="9" customFormat="1" spans="1:9">
      <c r="A244" s="12">
        <v>243</v>
      </c>
      <c r="B244" s="9" t="s">
        <v>223</v>
      </c>
      <c r="C244" s="13" t="s">
        <v>278</v>
      </c>
      <c r="D244" s="13" t="s">
        <v>54</v>
      </c>
      <c r="E244" s="12">
        <v>2017</v>
      </c>
      <c r="F244" s="12" t="str">
        <f>IF(ISERROR(VLOOKUP(H244,[1]final!H:H,1,0)),"0","1")</f>
        <v>0</v>
      </c>
      <c r="G244" s="13" t="s">
        <v>228</v>
      </c>
      <c r="H244" s="13" t="s">
        <v>501</v>
      </c>
      <c r="I244" s="13"/>
    </row>
    <row r="245" s="9" customFormat="1" spans="1:9">
      <c r="A245" s="12">
        <v>244</v>
      </c>
      <c r="B245" s="9" t="s">
        <v>223</v>
      </c>
      <c r="C245" s="13" t="s">
        <v>278</v>
      </c>
      <c r="D245" s="13" t="s">
        <v>54</v>
      </c>
      <c r="E245" s="12">
        <v>2012</v>
      </c>
      <c r="F245" s="12" t="str">
        <f>IF(ISERROR(VLOOKUP(H245,[1]final!H:H,1,0)),"0","1")</f>
        <v>0</v>
      </c>
      <c r="G245" s="13" t="s">
        <v>228</v>
      </c>
      <c r="H245" s="13" t="s">
        <v>502</v>
      </c>
      <c r="I245" s="13" t="s">
        <v>503</v>
      </c>
    </row>
    <row r="246" s="9" customFormat="1" spans="1:9">
      <c r="A246" s="12">
        <v>245</v>
      </c>
      <c r="B246" s="9" t="s">
        <v>223</v>
      </c>
      <c r="C246" s="13" t="s">
        <v>278</v>
      </c>
      <c r="D246" s="13" t="s">
        <v>54</v>
      </c>
      <c r="E246" s="12">
        <v>2023</v>
      </c>
      <c r="F246" s="12" t="str">
        <f>IF(ISERROR(VLOOKUP(H246,[1]final!H:H,1,0)),"0","1")</f>
        <v>0</v>
      </c>
      <c r="G246" s="13" t="s">
        <v>228</v>
      </c>
      <c r="H246" s="13" t="s">
        <v>504</v>
      </c>
      <c r="I246" s="13"/>
    </row>
    <row r="247" s="9" customFormat="1" spans="1:9">
      <c r="A247" s="12">
        <v>246</v>
      </c>
      <c r="B247" s="9" t="s">
        <v>223</v>
      </c>
      <c r="C247" s="13" t="s">
        <v>278</v>
      </c>
      <c r="D247" s="13" t="s">
        <v>54</v>
      </c>
      <c r="E247" s="12">
        <v>2023</v>
      </c>
      <c r="F247" s="12" t="str">
        <f>IF(ISERROR(VLOOKUP(H247,[1]final!H:H,1,0)),"0","1")</f>
        <v>0</v>
      </c>
      <c r="G247" s="13" t="s">
        <v>228</v>
      </c>
      <c r="H247" s="13" t="s">
        <v>505</v>
      </c>
      <c r="I247" s="13" t="s">
        <v>506</v>
      </c>
    </row>
    <row r="248" s="9" customFormat="1" spans="1:9">
      <c r="A248" s="12">
        <v>247</v>
      </c>
      <c r="B248" s="9" t="s">
        <v>223</v>
      </c>
      <c r="C248" s="13" t="s">
        <v>278</v>
      </c>
      <c r="D248" s="13" t="s">
        <v>54</v>
      </c>
      <c r="E248" s="12">
        <v>2016</v>
      </c>
      <c r="F248" s="12" t="str">
        <f>IF(ISERROR(VLOOKUP(H248,[1]final!H:H,1,0)),"0","1")</f>
        <v>0</v>
      </c>
      <c r="G248" s="13" t="s">
        <v>228</v>
      </c>
      <c r="H248" s="13" t="s">
        <v>507</v>
      </c>
      <c r="I248" s="13" t="s">
        <v>508</v>
      </c>
    </row>
    <row r="249" s="9" customFormat="1" spans="1:9">
      <c r="A249" s="12">
        <v>248</v>
      </c>
      <c r="B249" s="9" t="s">
        <v>223</v>
      </c>
      <c r="C249" s="13" t="s">
        <v>278</v>
      </c>
      <c r="D249" s="13" t="s">
        <v>54</v>
      </c>
      <c r="E249" s="12">
        <v>2010</v>
      </c>
      <c r="F249" s="12" t="str">
        <f>IF(ISERROR(VLOOKUP(H249,[1]final!H:H,1,0)),"0","1")</f>
        <v>0</v>
      </c>
      <c r="G249" s="13" t="s">
        <v>228</v>
      </c>
      <c r="H249" s="13" t="s">
        <v>509</v>
      </c>
      <c r="I249" s="13" t="s">
        <v>510</v>
      </c>
    </row>
    <row r="250" s="9" customFormat="1" spans="1:9">
      <c r="A250" s="12">
        <v>249</v>
      </c>
      <c r="B250" s="9" t="s">
        <v>223</v>
      </c>
      <c r="C250" s="13" t="s">
        <v>278</v>
      </c>
      <c r="D250" s="13" t="s">
        <v>54</v>
      </c>
      <c r="E250" s="12">
        <v>2015</v>
      </c>
      <c r="F250" s="12" t="str">
        <f>IF(ISERROR(VLOOKUP(H250,[1]final!H:H,1,0)),"0","1")</f>
        <v>0</v>
      </c>
      <c r="G250" s="13" t="s">
        <v>228</v>
      </c>
      <c r="H250" s="13" t="s">
        <v>511</v>
      </c>
      <c r="I250" s="13" t="s">
        <v>512</v>
      </c>
    </row>
    <row r="251" s="9" customFormat="1" spans="1:9">
      <c r="A251" s="12">
        <v>250</v>
      </c>
      <c r="B251" s="9" t="s">
        <v>223</v>
      </c>
      <c r="C251" s="13" t="s">
        <v>278</v>
      </c>
      <c r="D251" s="13" t="s">
        <v>54</v>
      </c>
      <c r="E251" s="12">
        <v>2022</v>
      </c>
      <c r="F251" s="12" t="str">
        <f>IF(ISERROR(VLOOKUP(H251,[1]final!H:H,1,0)),"0","1")</f>
        <v>0</v>
      </c>
      <c r="G251" s="13" t="s">
        <v>228</v>
      </c>
      <c r="H251" s="13" t="s">
        <v>513</v>
      </c>
      <c r="I251" s="13" t="s">
        <v>514</v>
      </c>
    </row>
    <row r="252" s="9" customFormat="1" spans="1:9">
      <c r="A252" s="12">
        <v>251</v>
      </c>
      <c r="B252" s="9" t="s">
        <v>223</v>
      </c>
      <c r="C252" s="13" t="s">
        <v>278</v>
      </c>
      <c r="D252" s="13" t="s">
        <v>54</v>
      </c>
      <c r="E252" s="12">
        <v>2023</v>
      </c>
      <c r="F252" s="12" t="str">
        <f>IF(ISERROR(VLOOKUP(H252,[1]final!H:H,1,0)),"0","1")</f>
        <v>0</v>
      </c>
      <c r="G252" s="13" t="s">
        <v>228</v>
      </c>
      <c r="H252" s="13" t="s">
        <v>515</v>
      </c>
      <c r="I252" s="13" t="s">
        <v>516</v>
      </c>
    </row>
    <row r="253" s="9" customFormat="1" spans="1:9">
      <c r="A253" s="12">
        <v>252</v>
      </c>
      <c r="B253" s="9" t="s">
        <v>223</v>
      </c>
      <c r="C253" s="13" t="s">
        <v>278</v>
      </c>
      <c r="D253" s="13" t="s">
        <v>54</v>
      </c>
      <c r="E253" s="12">
        <v>2019</v>
      </c>
      <c r="F253" s="12" t="str">
        <f>IF(ISERROR(VLOOKUP(H253,[1]final!H:H,1,0)),"0","1")</f>
        <v>0</v>
      </c>
      <c r="G253" s="13" t="s">
        <v>228</v>
      </c>
      <c r="H253" s="13" t="s">
        <v>517</v>
      </c>
      <c r="I253" s="13" t="s">
        <v>518</v>
      </c>
    </row>
    <row r="254" s="9" customFormat="1" spans="1:9">
      <c r="A254" s="12">
        <v>253</v>
      </c>
      <c r="B254" s="9" t="s">
        <v>223</v>
      </c>
      <c r="C254" s="13" t="s">
        <v>278</v>
      </c>
      <c r="D254" s="13" t="s">
        <v>54</v>
      </c>
      <c r="E254" s="12">
        <v>2012</v>
      </c>
      <c r="F254" s="12" t="str">
        <f>IF(ISERROR(VLOOKUP(H254,[1]final!H:H,1,0)),"0","1")</f>
        <v>0</v>
      </c>
      <c r="G254" s="13" t="s">
        <v>228</v>
      </c>
      <c r="H254" s="13" t="s">
        <v>519</v>
      </c>
      <c r="I254" s="13" t="s">
        <v>520</v>
      </c>
    </row>
    <row r="255" s="9" customFormat="1" spans="1:9">
      <c r="A255" s="12">
        <v>254</v>
      </c>
      <c r="B255" s="9" t="s">
        <v>223</v>
      </c>
      <c r="C255" s="13" t="s">
        <v>278</v>
      </c>
      <c r="D255" s="13" t="s">
        <v>54</v>
      </c>
      <c r="E255" s="12">
        <v>2018</v>
      </c>
      <c r="F255" s="12" t="str">
        <f>IF(ISERROR(VLOOKUP(H255,[1]final!H:H,1,0)),"0","1")</f>
        <v>0</v>
      </c>
      <c r="G255" s="13" t="s">
        <v>228</v>
      </c>
      <c r="H255" s="13" t="s">
        <v>521</v>
      </c>
      <c r="I255" s="13" t="s">
        <v>522</v>
      </c>
    </row>
    <row r="256" s="9" customFormat="1" spans="1:9">
      <c r="A256" s="12">
        <v>255</v>
      </c>
      <c r="B256" s="9" t="s">
        <v>223</v>
      </c>
      <c r="C256" s="13" t="s">
        <v>278</v>
      </c>
      <c r="D256" s="13" t="s">
        <v>121</v>
      </c>
      <c r="E256" s="12">
        <v>2018</v>
      </c>
      <c r="F256" s="12" t="str">
        <f>IF(ISERROR(VLOOKUP(H256,[1]final!H:H,1,0)),"0","1")</f>
        <v>0</v>
      </c>
      <c r="G256" s="13" t="s">
        <v>228</v>
      </c>
      <c r="H256" s="13" t="s">
        <v>523</v>
      </c>
      <c r="I256" s="13" t="s">
        <v>524</v>
      </c>
    </row>
    <row r="257" s="9" customFormat="1" spans="1:9">
      <c r="A257" s="12">
        <v>256</v>
      </c>
      <c r="B257" s="9" t="s">
        <v>223</v>
      </c>
      <c r="C257" s="13" t="s">
        <v>278</v>
      </c>
      <c r="D257" s="13" t="s">
        <v>54</v>
      </c>
      <c r="E257" s="12">
        <v>2024</v>
      </c>
      <c r="F257" s="12" t="str">
        <f>IF(ISERROR(VLOOKUP(H257,[1]final!H:H,1,0)),"0","1")</f>
        <v>0</v>
      </c>
      <c r="G257" s="13" t="s">
        <v>228</v>
      </c>
      <c r="H257" s="13" t="s">
        <v>525</v>
      </c>
      <c r="I257" s="13" t="s">
        <v>526</v>
      </c>
    </row>
    <row r="258" s="9" customFormat="1" spans="1:9">
      <c r="A258" s="12">
        <v>257</v>
      </c>
      <c r="B258" s="9" t="s">
        <v>223</v>
      </c>
      <c r="C258" s="13" t="s">
        <v>278</v>
      </c>
      <c r="D258" s="13" t="s">
        <v>54</v>
      </c>
      <c r="E258" s="12">
        <v>2024</v>
      </c>
      <c r="F258" s="12" t="str">
        <f>IF(ISERROR(VLOOKUP(H258,[1]final!H:H,1,0)),"0","1")</f>
        <v>0</v>
      </c>
      <c r="G258" s="13" t="s">
        <v>228</v>
      </c>
      <c r="H258" s="13" t="s">
        <v>527</v>
      </c>
      <c r="I258" s="13" t="s">
        <v>528</v>
      </c>
    </row>
    <row r="259" s="9" customFormat="1" spans="1:9">
      <c r="A259" s="12">
        <v>258</v>
      </c>
      <c r="B259" s="9" t="s">
        <v>223</v>
      </c>
      <c r="C259" s="13" t="s">
        <v>278</v>
      </c>
      <c r="D259" s="13" t="s">
        <v>54</v>
      </c>
      <c r="E259" s="12">
        <v>2023</v>
      </c>
      <c r="F259" s="12" t="str">
        <f>IF(ISERROR(VLOOKUP(H259,[1]final!H:H,1,0)),"0","1")</f>
        <v>0</v>
      </c>
      <c r="G259" s="13" t="s">
        <v>228</v>
      </c>
      <c r="H259" s="13" t="s">
        <v>529</v>
      </c>
      <c r="I259" s="13" t="s">
        <v>530</v>
      </c>
    </row>
    <row r="260" s="9" customFormat="1" spans="1:9">
      <c r="A260" s="12">
        <v>259</v>
      </c>
      <c r="B260" s="9" t="s">
        <v>223</v>
      </c>
      <c r="C260" s="13" t="s">
        <v>278</v>
      </c>
      <c r="D260" s="13" t="s">
        <v>54</v>
      </c>
      <c r="E260" s="12">
        <v>2022</v>
      </c>
      <c r="F260" s="12" t="str">
        <f>IF(ISERROR(VLOOKUP(H260,[1]final!H:H,1,0)),"0","1")</f>
        <v>0</v>
      </c>
      <c r="G260" s="13" t="s">
        <v>228</v>
      </c>
      <c r="H260" s="13" t="s">
        <v>531</v>
      </c>
      <c r="I260" s="13" t="s">
        <v>532</v>
      </c>
    </row>
    <row r="261" s="9" customFormat="1" spans="1:9">
      <c r="A261" s="12">
        <v>260</v>
      </c>
      <c r="B261" s="9" t="s">
        <v>223</v>
      </c>
      <c r="C261" s="13" t="s">
        <v>278</v>
      </c>
      <c r="D261" s="13" t="s">
        <v>54</v>
      </c>
      <c r="E261" s="12">
        <v>2024</v>
      </c>
      <c r="F261" s="12" t="str">
        <f>IF(ISERROR(VLOOKUP(H261,[1]final!H:H,1,0)),"0","1")</f>
        <v>0</v>
      </c>
      <c r="G261" s="13" t="s">
        <v>228</v>
      </c>
      <c r="H261" s="13" t="s">
        <v>533</v>
      </c>
      <c r="I261" s="13" t="s">
        <v>534</v>
      </c>
    </row>
    <row r="262" s="9" customFormat="1" spans="1:9">
      <c r="A262" s="12">
        <v>261</v>
      </c>
      <c r="B262" s="9" t="s">
        <v>223</v>
      </c>
      <c r="C262" s="13" t="s">
        <v>278</v>
      </c>
      <c r="D262" s="13" t="s">
        <v>54</v>
      </c>
      <c r="E262" s="12">
        <v>2014</v>
      </c>
      <c r="F262" s="12" t="str">
        <f>IF(ISERROR(VLOOKUP(H262,[1]final!H:H,1,0)),"0","1")</f>
        <v>0</v>
      </c>
      <c r="G262" s="13" t="s">
        <v>228</v>
      </c>
      <c r="H262" s="13" t="s">
        <v>535</v>
      </c>
      <c r="I262" s="13" t="s">
        <v>536</v>
      </c>
    </row>
    <row r="263" s="9" customFormat="1" spans="1:9">
      <c r="A263" s="12">
        <v>262</v>
      </c>
      <c r="B263" s="9" t="s">
        <v>223</v>
      </c>
      <c r="C263" s="13" t="s">
        <v>278</v>
      </c>
      <c r="D263" s="13" t="s">
        <v>54</v>
      </c>
      <c r="E263" s="12">
        <v>2023</v>
      </c>
      <c r="F263" s="12" t="str">
        <f>IF(ISERROR(VLOOKUP(H263,[1]final!H:H,1,0)),"0","1")</f>
        <v>0</v>
      </c>
      <c r="G263" s="13" t="s">
        <v>228</v>
      </c>
      <c r="H263" s="13" t="s">
        <v>537</v>
      </c>
      <c r="I263" s="13" t="s">
        <v>538</v>
      </c>
    </row>
    <row r="264" s="9" customFormat="1" spans="1:9">
      <c r="A264" s="12">
        <v>263</v>
      </c>
      <c r="B264" s="9" t="s">
        <v>223</v>
      </c>
      <c r="C264" s="13" t="s">
        <v>278</v>
      </c>
      <c r="D264" s="13" t="s">
        <v>121</v>
      </c>
      <c r="E264" s="12">
        <v>2019</v>
      </c>
      <c r="F264" s="12" t="str">
        <f>IF(ISERROR(VLOOKUP(H264,[1]final!H:H,1,0)),"0","1")</f>
        <v>0</v>
      </c>
      <c r="G264" s="13" t="s">
        <v>228</v>
      </c>
      <c r="H264" s="13" t="s">
        <v>539</v>
      </c>
      <c r="I264" s="13" t="s">
        <v>540</v>
      </c>
    </row>
    <row r="265" s="9" customFormat="1" spans="1:9">
      <c r="A265" s="12">
        <v>264</v>
      </c>
      <c r="B265" s="9" t="s">
        <v>223</v>
      </c>
      <c r="C265" s="13" t="s">
        <v>278</v>
      </c>
      <c r="D265" s="13" t="s">
        <v>54</v>
      </c>
      <c r="E265" s="12">
        <v>2022</v>
      </c>
      <c r="F265" s="12" t="str">
        <f>IF(ISERROR(VLOOKUP(H265,[1]final!H:H,1,0)),"0","1")</f>
        <v>0</v>
      </c>
      <c r="G265" s="13" t="s">
        <v>228</v>
      </c>
      <c r="H265" s="13" t="s">
        <v>541</v>
      </c>
      <c r="I265" s="13" t="s">
        <v>542</v>
      </c>
    </row>
    <row r="266" s="9" customFormat="1" spans="1:9">
      <c r="A266" s="12">
        <v>265</v>
      </c>
      <c r="B266" s="9" t="s">
        <v>223</v>
      </c>
      <c r="C266" s="13" t="s">
        <v>278</v>
      </c>
      <c r="D266" s="13" t="s">
        <v>54</v>
      </c>
      <c r="E266" s="12">
        <v>2021</v>
      </c>
      <c r="F266" s="12" t="str">
        <f>IF(ISERROR(VLOOKUP(H266,[1]final!H:H,1,0)),"0","1")</f>
        <v>0</v>
      </c>
      <c r="G266" s="13" t="s">
        <v>228</v>
      </c>
      <c r="H266" s="13" t="s">
        <v>543</v>
      </c>
      <c r="I266" s="13" t="s">
        <v>544</v>
      </c>
    </row>
    <row r="267" s="9" customFormat="1" spans="1:9">
      <c r="A267" s="12">
        <v>266</v>
      </c>
      <c r="B267" s="9" t="s">
        <v>9</v>
      </c>
      <c r="C267" s="13" t="s">
        <v>545</v>
      </c>
      <c r="D267" s="13" t="s">
        <v>11</v>
      </c>
      <c r="E267" s="12">
        <v>2004</v>
      </c>
      <c r="F267" s="12" t="str">
        <f>IF(ISERROR(VLOOKUP(H267,[1]final!H:H,1,0)),"0","1")</f>
        <v>0</v>
      </c>
      <c r="G267" s="13" t="s">
        <v>32</v>
      </c>
      <c r="H267" s="13" t="s">
        <v>546</v>
      </c>
      <c r="I267" s="13" t="s">
        <v>547</v>
      </c>
    </row>
    <row r="268" s="9" customFormat="1" spans="1:9">
      <c r="A268" s="12">
        <v>267</v>
      </c>
      <c r="B268" s="9" t="s">
        <v>9</v>
      </c>
      <c r="C268" s="13" t="s">
        <v>545</v>
      </c>
      <c r="D268" s="13" t="s">
        <v>11</v>
      </c>
      <c r="E268" s="12">
        <v>2009</v>
      </c>
      <c r="F268" s="12" t="str">
        <f>IF(ISERROR(VLOOKUP(H268,[1]final!H:H,1,0)),"0","1")</f>
        <v>0</v>
      </c>
      <c r="G268" s="13" t="s">
        <v>32</v>
      </c>
      <c r="H268" s="13" t="s">
        <v>548</v>
      </c>
      <c r="I268" s="13" t="s">
        <v>549</v>
      </c>
    </row>
    <row r="269" s="9" customFormat="1" spans="1:9">
      <c r="A269" s="12">
        <v>268</v>
      </c>
      <c r="B269" s="9" t="s">
        <v>9</v>
      </c>
      <c r="C269" s="13" t="s">
        <v>545</v>
      </c>
      <c r="D269" s="13" t="s">
        <v>54</v>
      </c>
      <c r="E269" s="12">
        <v>2022</v>
      </c>
      <c r="F269" s="12" t="str">
        <f>IF(ISERROR(VLOOKUP(H269,[1]final!H:H,1,0)),"0","1")</f>
        <v>0</v>
      </c>
      <c r="G269" s="13" t="s">
        <v>86</v>
      </c>
      <c r="H269" s="13" t="s">
        <v>550</v>
      </c>
      <c r="I269" s="13"/>
    </row>
    <row r="270" s="9" customFormat="1" spans="1:9">
      <c r="A270" s="12">
        <v>269</v>
      </c>
      <c r="B270" s="9" t="s">
        <v>9</v>
      </c>
      <c r="C270" s="13" t="s">
        <v>545</v>
      </c>
      <c r="D270" s="13" t="s">
        <v>121</v>
      </c>
      <c r="E270" s="12">
        <v>2013</v>
      </c>
      <c r="F270" s="12" t="str">
        <f>IF(ISERROR(VLOOKUP(H270,[1]final!H:H,1,0)),"0","1")</f>
        <v>0</v>
      </c>
      <c r="G270" s="13" t="s">
        <v>16</v>
      </c>
      <c r="H270" s="13" t="s">
        <v>551</v>
      </c>
      <c r="I270" s="13" t="s">
        <v>552</v>
      </c>
    </row>
    <row r="271" s="9" customFormat="1" spans="1:9">
      <c r="A271" s="12">
        <v>270</v>
      </c>
      <c r="B271" s="9" t="s">
        <v>9</v>
      </c>
      <c r="C271" s="13" t="s">
        <v>545</v>
      </c>
      <c r="D271" s="13" t="s">
        <v>11</v>
      </c>
      <c r="E271" s="12">
        <v>2014</v>
      </c>
      <c r="F271" s="12" t="str">
        <f>IF(ISERROR(VLOOKUP(H271,[1]final!H:H,1,0)),"0","1")</f>
        <v>0</v>
      </c>
      <c r="G271" s="13" t="s">
        <v>16</v>
      </c>
      <c r="H271" s="13" t="s">
        <v>553</v>
      </c>
      <c r="I271" s="13" t="s">
        <v>554</v>
      </c>
    </row>
    <row r="272" s="9" customFormat="1" spans="1:9">
      <c r="A272" s="12">
        <v>271</v>
      </c>
      <c r="B272" s="9" t="s">
        <v>9</v>
      </c>
      <c r="C272" s="13" t="s">
        <v>545</v>
      </c>
      <c r="D272" s="13" t="s">
        <v>11</v>
      </c>
      <c r="E272" s="12">
        <v>2009</v>
      </c>
      <c r="F272" s="12" t="str">
        <f>IF(ISERROR(VLOOKUP(H272,[1]final!H:H,1,0)),"0","1")</f>
        <v>0</v>
      </c>
      <c r="G272" s="13" t="s">
        <v>32</v>
      </c>
      <c r="H272" s="13" t="s">
        <v>555</v>
      </c>
      <c r="I272" s="13" t="s">
        <v>556</v>
      </c>
    </row>
    <row r="273" s="9" customFormat="1" spans="1:9">
      <c r="A273" s="12">
        <v>272</v>
      </c>
      <c r="B273" s="9" t="s">
        <v>9</v>
      </c>
      <c r="C273" s="13" t="s">
        <v>545</v>
      </c>
      <c r="D273" s="13" t="s">
        <v>121</v>
      </c>
      <c r="E273" s="12">
        <v>2000</v>
      </c>
      <c r="F273" s="12" t="str">
        <f>IF(ISERROR(VLOOKUP(H273,[1]final!H:H,1,0)),"0","1")</f>
        <v>0</v>
      </c>
      <c r="G273" s="13" t="s">
        <v>32</v>
      </c>
      <c r="H273" s="13" t="s">
        <v>557</v>
      </c>
      <c r="I273" s="13" t="s">
        <v>558</v>
      </c>
    </row>
    <row r="274" s="9" customFormat="1" spans="1:9">
      <c r="A274" s="12">
        <v>273</v>
      </c>
      <c r="B274" s="9" t="s">
        <v>9</v>
      </c>
      <c r="C274" s="13" t="s">
        <v>545</v>
      </c>
      <c r="D274" s="13" t="s">
        <v>54</v>
      </c>
      <c r="E274" s="12">
        <v>2003</v>
      </c>
      <c r="F274" s="12" t="str">
        <f>IF(ISERROR(VLOOKUP(H274,[1]final!H:H,1,0)),"0","1")</f>
        <v>0</v>
      </c>
      <c r="G274" s="13" t="s">
        <v>32</v>
      </c>
      <c r="H274" s="13" t="s">
        <v>559</v>
      </c>
      <c r="I274" s="13"/>
    </row>
    <row r="275" s="9" customFormat="1" spans="1:9">
      <c r="A275" s="12">
        <v>274</v>
      </c>
      <c r="B275" s="9" t="s">
        <v>9</v>
      </c>
      <c r="C275" s="13" t="s">
        <v>545</v>
      </c>
      <c r="D275" s="13" t="s">
        <v>11</v>
      </c>
      <c r="E275" s="12">
        <v>2015</v>
      </c>
      <c r="F275" s="12" t="str">
        <f>IF(ISERROR(VLOOKUP(H275,[1]final!H:H,1,0)),"0","1")</f>
        <v>1</v>
      </c>
      <c r="G275" s="13"/>
      <c r="H275" s="13" t="s">
        <v>560</v>
      </c>
      <c r="I275" s="13" t="s">
        <v>561</v>
      </c>
    </row>
    <row r="276" s="9" customFormat="1" spans="1:9">
      <c r="A276" s="12">
        <v>275</v>
      </c>
      <c r="B276" s="9" t="s">
        <v>9</v>
      </c>
      <c r="C276" s="13" t="s">
        <v>545</v>
      </c>
      <c r="D276" s="13" t="s">
        <v>121</v>
      </c>
      <c r="E276" s="12">
        <v>2024</v>
      </c>
      <c r="F276" s="12" t="str">
        <f>IF(ISERROR(VLOOKUP(H276,[1]final!H:H,1,0)),"0","1")</f>
        <v>1</v>
      </c>
      <c r="G276" s="13"/>
      <c r="H276" s="13" t="s">
        <v>562</v>
      </c>
      <c r="I276" s="13" t="s">
        <v>563</v>
      </c>
    </row>
    <row r="277" s="9" customFormat="1" spans="1:9">
      <c r="A277" s="12">
        <v>276</v>
      </c>
      <c r="B277" s="9" t="s">
        <v>9</v>
      </c>
      <c r="C277" s="13" t="s">
        <v>545</v>
      </c>
      <c r="D277" s="13" t="s">
        <v>11</v>
      </c>
      <c r="E277" s="12">
        <v>2013</v>
      </c>
      <c r="F277" s="12" t="str">
        <f>IF(ISERROR(VLOOKUP(H277,[1]final!H:H,1,0)),"0","1")</f>
        <v>0</v>
      </c>
      <c r="G277" s="13" t="s">
        <v>16</v>
      </c>
      <c r="H277" s="13" t="s">
        <v>564</v>
      </c>
      <c r="I277" s="13" t="s">
        <v>565</v>
      </c>
    </row>
    <row r="278" s="9" customFormat="1" spans="1:9">
      <c r="A278" s="12">
        <v>277</v>
      </c>
      <c r="B278" s="9" t="s">
        <v>9</v>
      </c>
      <c r="C278" s="13" t="s">
        <v>545</v>
      </c>
      <c r="D278" s="13" t="s">
        <v>11</v>
      </c>
      <c r="E278" s="12">
        <v>2010</v>
      </c>
      <c r="F278" s="12" t="str">
        <f>IF(ISERROR(VLOOKUP(H278,[1]final!H:H,1,0)),"0","1")</f>
        <v>1</v>
      </c>
      <c r="G278" s="13"/>
      <c r="H278" s="13" t="s">
        <v>566</v>
      </c>
      <c r="I278" s="13" t="s">
        <v>567</v>
      </c>
    </row>
    <row r="279" s="9" customFormat="1" spans="1:9">
      <c r="A279" s="12">
        <v>278</v>
      </c>
      <c r="B279" s="9" t="s">
        <v>9</v>
      </c>
      <c r="C279" s="13" t="s">
        <v>545</v>
      </c>
      <c r="D279" s="13" t="s">
        <v>11</v>
      </c>
      <c r="E279" s="12">
        <v>2018</v>
      </c>
      <c r="F279" s="12" t="str">
        <f>IF(ISERROR(VLOOKUP(H279,[1]final!H:H,1,0)),"0","1")</f>
        <v>0</v>
      </c>
      <c r="G279" s="13" t="s">
        <v>16</v>
      </c>
      <c r="H279" s="13" t="s">
        <v>568</v>
      </c>
      <c r="I279" s="13" t="s">
        <v>569</v>
      </c>
    </row>
    <row r="280" s="9" customFormat="1" spans="1:9">
      <c r="A280" s="12">
        <v>279</v>
      </c>
      <c r="B280" s="9" t="s">
        <v>9</v>
      </c>
      <c r="C280" s="13" t="s">
        <v>545</v>
      </c>
      <c r="D280" s="13" t="s">
        <v>11</v>
      </c>
      <c r="E280" s="12">
        <v>2018</v>
      </c>
      <c r="F280" s="12" t="str">
        <f>IF(ISERROR(VLOOKUP(H280,[1]final!H:H,1,0)),"0","1")</f>
        <v>0</v>
      </c>
      <c r="G280" s="13" t="s">
        <v>19</v>
      </c>
      <c r="H280" s="13" t="s">
        <v>570</v>
      </c>
      <c r="I280" s="13" t="s">
        <v>571</v>
      </c>
    </row>
    <row r="281" s="9" customFormat="1" spans="1:9">
      <c r="A281" s="12">
        <v>280</v>
      </c>
      <c r="B281" s="9" t="s">
        <v>9</v>
      </c>
      <c r="C281" s="13" t="s">
        <v>545</v>
      </c>
      <c r="D281" s="13" t="s">
        <v>54</v>
      </c>
      <c r="E281" s="12">
        <v>2019</v>
      </c>
      <c r="F281" s="12" t="str">
        <f>IF(ISERROR(VLOOKUP(H281,[1]final!H:H,1,0)),"0","1")</f>
        <v>1</v>
      </c>
      <c r="G281" s="13"/>
      <c r="H281" s="13" t="s">
        <v>572</v>
      </c>
      <c r="I281" s="13" t="s">
        <v>573</v>
      </c>
    </row>
    <row r="282" s="9" customFormat="1" spans="1:9">
      <c r="A282" s="12">
        <v>281</v>
      </c>
      <c r="B282" s="9" t="s">
        <v>9</v>
      </c>
      <c r="C282" s="13" t="s">
        <v>545</v>
      </c>
      <c r="D282" s="13" t="s">
        <v>54</v>
      </c>
      <c r="E282" s="12">
        <v>2019</v>
      </c>
      <c r="F282" s="12" t="str">
        <f>IF(ISERROR(VLOOKUP(H282,[1]final!H:H,1,0)),"0","1")</f>
        <v>1</v>
      </c>
      <c r="G282" s="13"/>
      <c r="H282" s="13" t="s">
        <v>574</v>
      </c>
      <c r="I282" s="13" t="s">
        <v>575</v>
      </c>
    </row>
    <row r="283" s="9" customFormat="1" spans="1:9">
      <c r="A283" s="12">
        <v>282</v>
      </c>
      <c r="B283" s="9" t="s">
        <v>9</v>
      </c>
      <c r="C283" s="13" t="s">
        <v>545</v>
      </c>
      <c r="D283" s="13" t="s">
        <v>54</v>
      </c>
      <c r="E283" s="12">
        <v>2015</v>
      </c>
      <c r="F283" s="12" t="str">
        <f>IF(ISERROR(VLOOKUP(H283,[1]final!H:H,1,0)),"0","1")</f>
        <v>1</v>
      </c>
      <c r="G283" s="13"/>
      <c r="H283" s="13" t="s">
        <v>576</v>
      </c>
      <c r="I283" s="13" t="s">
        <v>577</v>
      </c>
    </row>
    <row r="284" s="9" customFormat="1" spans="1:9">
      <c r="A284" s="12">
        <v>283</v>
      </c>
      <c r="B284" s="9" t="s">
        <v>9</v>
      </c>
      <c r="C284" s="13" t="s">
        <v>545</v>
      </c>
      <c r="D284" s="13" t="s">
        <v>11</v>
      </c>
      <c r="E284" s="12">
        <v>2009</v>
      </c>
      <c r="F284" s="12" t="str">
        <f>IF(ISERROR(VLOOKUP(H284,[1]final!H:H,1,0)),"0","1")</f>
        <v>0</v>
      </c>
      <c r="G284" s="13" t="s">
        <v>32</v>
      </c>
      <c r="H284" s="13" t="s">
        <v>578</v>
      </c>
      <c r="I284" s="13" t="s">
        <v>579</v>
      </c>
    </row>
    <row r="285" s="9" customFormat="1" spans="1:9">
      <c r="A285" s="12">
        <v>284</v>
      </c>
      <c r="B285" s="9" t="s">
        <v>9</v>
      </c>
      <c r="C285" s="13" t="s">
        <v>545</v>
      </c>
      <c r="D285" s="13" t="s">
        <v>11</v>
      </c>
      <c r="E285" s="12">
        <v>2017</v>
      </c>
      <c r="F285" s="12" t="str">
        <f>IF(ISERROR(VLOOKUP(H285,[1]final!H:H,1,0)),"0","1")</f>
        <v>0</v>
      </c>
      <c r="G285" s="13" t="s">
        <v>16</v>
      </c>
      <c r="H285" s="13" t="s">
        <v>580</v>
      </c>
      <c r="I285" s="13" t="s">
        <v>581</v>
      </c>
    </row>
    <row r="286" s="9" customFormat="1" spans="1:9">
      <c r="A286" s="12">
        <v>285</v>
      </c>
      <c r="B286" s="9" t="s">
        <v>9</v>
      </c>
      <c r="C286" s="13" t="s">
        <v>545</v>
      </c>
      <c r="D286" s="13" t="s">
        <v>11</v>
      </c>
      <c r="E286" s="12">
        <v>2012</v>
      </c>
      <c r="F286" s="12" t="str">
        <f>IF(ISERROR(VLOOKUP(H286,[1]final!H:H,1,0)),"0","1")</f>
        <v>0</v>
      </c>
      <c r="G286" s="13" t="s">
        <v>16</v>
      </c>
      <c r="H286" s="13" t="s">
        <v>582</v>
      </c>
      <c r="I286" s="13" t="s">
        <v>583</v>
      </c>
    </row>
    <row r="287" s="9" customFormat="1" spans="1:9">
      <c r="A287" s="12">
        <v>286</v>
      </c>
      <c r="B287" s="9" t="s">
        <v>9</v>
      </c>
      <c r="C287" s="13" t="s">
        <v>545</v>
      </c>
      <c r="D287" s="13" t="s">
        <v>11</v>
      </c>
      <c r="E287" s="12">
        <v>2017</v>
      </c>
      <c r="F287" s="12" t="str">
        <f>IF(ISERROR(VLOOKUP(H287,[1]final!H:H,1,0)),"0","1")</f>
        <v>1</v>
      </c>
      <c r="G287" s="13"/>
      <c r="H287" s="13" t="s">
        <v>584</v>
      </c>
      <c r="I287" s="13" t="s">
        <v>585</v>
      </c>
    </row>
    <row r="288" s="9" customFormat="1" spans="1:9">
      <c r="A288" s="12">
        <v>287</v>
      </c>
      <c r="B288" s="9" t="s">
        <v>9</v>
      </c>
      <c r="C288" s="13" t="s">
        <v>545</v>
      </c>
      <c r="D288" s="13" t="s">
        <v>11</v>
      </c>
      <c r="E288" s="12">
        <v>2011</v>
      </c>
      <c r="F288" s="12" t="str">
        <f>IF(ISERROR(VLOOKUP(H288,[1]final!H:H,1,0)),"0","1")</f>
        <v>1</v>
      </c>
      <c r="G288" s="13"/>
      <c r="H288" s="13" t="s">
        <v>586</v>
      </c>
      <c r="I288" s="13" t="s">
        <v>587</v>
      </c>
    </row>
    <row r="289" s="9" customFormat="1" spans="1:9">
      <c r="A289" s="12">
        <v>288</v>
      </c>
      <c r="B289" s="9" t="s">
        <v>9</v>
      </c>
      <c r="C289" s="13" t="s">
        <v>545</v>
      </c>
      <c r="D289" s="13" t="s">
        <v>121</v>
      </c>
      <c r="E289" s="12">
        <v>2015</v>
      </c>
      <c r="F289" s="12" t="str">
        <f>IF(ISERROR(VLOOKUP(H289,[1]final!H:H,1,0)),"0","1")</f>
        <v>0</v>
      </c>
      <c r="G289" s="13" t="s">
        <v>86</v>
      </c>
      <c r="H289" s="13" t="s">
        <v>588</v>
      </c>
      <c r="I289" s="13" t="s">
        <v>589</v>
      </c>
    </row>
    <row r="290" s="9" customFormat="1" spans="1:9">
      <c r="A290" s="12">
        <v>289</v>
      </c>
      <c r="B290" s="9" t="s">
        <v>9</v>
      </c>
      <c r="C290" s="13" t="s">
        <v>545</v>
      </c>
      <c r="D290" s="13" t="s">
        <v>11</v>
      </c>
      <c r="E290" s="12">
        <v>2015</v>
      </c>
      <c r="F290" s="12" t="str">
        <f>IF(ISERROR(VLOOKUP(H290,[1]final!H:H,1,0)),"0","1")</f>
        <v>0</v>
      </c>
      <c r="G290" s="13" t="s">
        <v>16</v>
      </c>
      <c r="H290" s="13" t="s">
        <v>590</v>
      </c>
      <c r="I290" s="13" t="s">
        <v>591</v>
      </c>
    </row>
    <row r="291" s="9" customFormat="1" spans="1:9">
      <c r="A291" s="12">
        <v>290</v>
      </c>
      <c r="B291" s="9" t="s">
        <v>9</v>
      </c>
      <c r="C291" s="13" t="s">
        <v>545</v>
      </c>
      <c r="D291" s="13" t="s">
        <v>11</v>
      </c>
      <c r="E291" s="12">
        <v>2019</v>
      </c>
      <c r="F291" s="12" t="str">
        <f>IF(ISERROR(VLOOKUP(H291,[1]final!H:H,1,0)),"0","1")</f>
        <v>1</v>
      </c>
      <c r="G291" s="13"/>
      <c r="H291" s="13" t="s">
        <v>592</v>
      </c>
      <c r="I291" s="13" t="s">
        <v>593</v>
      </c>
    </row>
    <row r="292" s="9" customFormat="1" spans="1:9">
      <c r="A292" s="12">
        <v>291</v>
      </c>
      <c r="B292" s="9" t="s">
        <v>9</v>
      </c>
      <c r="C292" s="13" t="s">
        <v>545</v>
      </c>
      <c r="D292" s="13" t="s">
        <v>11</v>
      </c>
      <c r="E292" s="12">
        <v>2011</v>
      </c>
      <c r="F292" s="12" t="str">
        <f>IF(ISERROR(VLOOKUP(H292,[1]final!H:H,1,0)),"0","1")</f>
        <v>0</v>
      </c>
      <c r="G292" s="13" t="s">
        <v>86</v>
      </c>
      <c r="H292" s="13" t="s">
        <v>594</v>
      </c>
      <c r="I292" s="13" t="s">
        <v>595</v>
      </c>
    </row>
    <row r="293" s="9" customFormat="1" spans="1:9">
      <c r="A293" s="12">
        <v>292</v>
      </c>
      <c r="B293" s="9" t="s">
        <v>9</v>
      </c>
      <c r="C293" s="13" t="s">
        <v>545</v>
      </c>
      <c r="D293" s="13" t="s">
        <v>54</v>
      </c>
      <c r="E293" s="12">
        <v>2020</v>
      </c>
      <c r="F293" s="12" t="str">
        <f>IF(ISERROR(VLOOKUP(H293,[1]final!H:H,1,0)),"0","1")</f>
        <v>0</v>
      </c>
      <c r="G293" s="13" t="s">
        <v>382</v>
      </c>
      <c r="H293" s="13" t="s">
        <v>596</v>
      </c>
      <c r="I293" s="13" t="s">
        <v>597</v>
      </c>
    </row>
    <row r="294" s="9" customFormat="1" spans="1:9">
      <c r="A294" s="12">
        <v>293</v>
      </c>
      <c r="B294" s="9" t="s">
        <v>9</v>
      </c>
      <c r="C294" s="13" t="s">
        <v>545</v>
      </c>
      <c r="D294" s="13" t="s">
        <v>11</v>
      </c>
      <c r="E294" s="12">
        <v>2008</v>
      </c>
      <c r="F294" s="12" t="str">
        <f>IF(ISERROR(VLOOKUP(H294,[1]final!H:H,1,0)),"0","1")</f>
        <v>0</v>
      </c>
      <c r="G294" s="13" t="s">
        <v>32</v>
      </c>
      <c r="H294" s="13" t="s">
        <v>598</v>
      </c>
      <c r="I294" s="13" t="s">
        <v>599</v>
      </c>
    </row>
    <row r="295" s="9" customFormat="1" spans="1:9">
      <c r="A295" s="12">
        <v>294</v>
      </c>
      <c r="B295" s="9" t="s">
        <v>9</v>
      </c>
      <c r="C295" s="13" t="s">
        <v>545</v>
      </c>
      <c r="D295" s="13" t="s">
        <v>11</v>
      </c>
      <c r="E295" s="12">
        <v>2018</v>
      </c>
      <c r="F295" s="12" t="str">
        <f>IF(ISERROR(VLOOKUP(H295,[1]final!H:H,1,0)),"0","1")</f>
        <v>0</v>
      </c>
      <c r="G295" s="13" t="s">
        <v>382</v>
      </c>
      <c r="H295" s="13" t="s">
        <v>600</v>
      </c>
      <c r="I295" s="13" t="s">
        <v>601</v>
      </c>
    </row>
    <row r="296" s="9" customFormat="1" spans="1:9">
      <c r="A296" s="12">
        <v>295</v>
      </c>
      <c r="B296" s="9" t="s">
        <v>9</v>
      </c>
      <c r="C296" s="13" t="s">
        <v>545</v>
      </c>
      <c r="D296" s="13" t="s">
        <v>11</v>
      </c>
      <c r="E296" s="12">
        <v>2006</v>
      </c>
      <c r="F296" s="12" t="str">
        <f>IF(ISERROR(VLOOKUP(H296,[1]final!H:H,1,0)),"0","1")</f>
        <v>0</v>
      </c>
      <c r="G296" s="13" t="s">
        <v>32</v>
      </c>
      <c r="H296" s="13" t="s">
        <v>602</v>
      </c>
      <c r="I296" s="13" t="s">
        <v>603</v>
      </c>
    </row>
    <row r="297" s="9" customFormat="1" spans="1:9">
      <c r="A297" s="12">
        <v>296</v>
      </c>
      <c r="B297" s="9" t="s">
        <v>9</v>
      </c>
      <c r="C297" s="13" t="s">
        <v>545</v>
      </c>
      <c r="D297" s="13" t="s">
        <v>121</v>
      </c>
      <c r="E297" s="12">
        <v>2021</v>
      </c>
      <c r="F297" s="12" t="str">
        <f>IF(ISERROR(VLOOKUP(H297,[1]final!H:H,1,0)),"0","1")</f>
        <v>0</v>
      </c>
      <c r="G297" s="13" t="s">
        <v>16</v>
      </c>
      <c r="H297" s="13" t="s">
        <v>604</v>
      </c>
      <c r="I297" s="13" t="s">
        <v>605</v>
      </c>
    </row>
    <row r="298" s="9" customFormat="1" spans="1:9">
      <c r="A298" s="12">
        <v>297</v>
      </c>
      <c r="B298" s="9" t="s">
        <v>9</v>
      </c>
      <c r="C298" s="13" t="s">
        <v>545</v>
      </c>
      <c r="D298" s="13" t="s">
        <v>606</v>
      </c>
      <c r="E298" s="12">
        <v>2015</v>
      </c>
      <c r="F298" s="12" t="str">
        <f>IF(ISERROR(VLOOKUP(H298,[1]final!H:H,1,0)),"0","1")</f>
        <v>0</v>
      </c>
      <c r="G298" s="13" t="s">
        <v>16</v>
      </c>
      <c r="H298" s="13" t="s">
        <v>607</v>
      </c>
      <c r="I298" s="13"/>
    </row>
    <row r="299" s="9" customFormat="1" spans="1:9">
      <c r="A299" s="12">
        <v>298</v>
      </c>
      <c r="B299" s="9" t="s">
        <v>9</v>
      </c>
      <c r="C299" s="13" t="s">
        <v>545</v>
      </c>
      <c r="D299" s="13" t="s">
        <v>121</v>
      </c>
      <c r="E299" s="12">
        <v>1986</v>
      </c>
      <c r="F299" s="12" t="str">
        <f>IF(ISERROR(VLOOKUP(H299,[1]final!H:H,1,0)),"0","1")</f>
        <v>0</v>
      </c>
      <c r="G299" s="13" t="s">
        <v>32</v>
      </c>
      <c r="H299" s="13" t="s">
        <v>608</v>
      </c>
      <c r="I299" s="13" t="s">
        <v>609</v>
      </c>
    </row>
    <row r="300" s="9" customFormat="1" spans="1:9">
      <c r="A300" s="12">
        <v>299</v>
      </c>
      <c r="B300" s="9" t="s">
        <v>9</v>
      </c>
      <c r="C300" s="13" t="s">
        <v>545</v>
      </c>
      <c r="D300" s="13" t="s">
        <v>11</v>
      </c>
      <c r="E300" s="12">
        <v>2016</v>
      </c>
      <c r="F300" s="12" t="str">
        <f>IF(ISERROR(VLOOKUP(H300,[1]final!H:H,1,0)),"0","1")</f>
        <v>0</v>
      </c>
      <c r="G300" s="13" t="s">
        <v>16</v>
      </c>
      <c r="H300" s="13" t="s">
        <v>610</v>
      </c>
      <c r="I300" s="13" t="s">
        <v>611</v>
      </c>
    </row>
    <row r="301" s="9" customFormat="1" spans="1:9">
      <c r="A301" s="12">
        <v>300</v>
      </c>
      <c r="B301" s="9" t="s">
        <v>9</v>
      </c>
      <c r="C301" s="13" t="s">
        <v>545</v>
      </c>
      <c r="D301" s="13" t="s">
        <v>11</v>
      </c>
      <c r="E301" s="12">
        <v>2024</v>
      </c>
      <c r="F301" s="12" t="str">
        <f>IF(ISERROR(VLOOKUP(H301,[1]final!H:H,1,0)),"0","1")</f>
        <v>1</v>
      </c>
      <c r="G301" s="13"/>
      <c r="H301" s="13" t="s">
        <v>612</v>
      </c>
      <c r="I301" s="13" t="s">
        <v>613</v>
      </c>
    </row>
    <row r="302" s="9" customFormat="1" spans="1:9">
      <c r="A302" s="12">
        <v>301</v>
      </c>
      <c r="B302" s="9" t="s">
        <v>9</v>
      </c>
      <c r="C302" s="13" t="s">
        <v>545</v>
      </c>
      <c r="D302" s="13" t="s">
        <v>11</v>
      </c>
      <c r="E302" s="12">
        <v>2014</v>
      </c>
      <c r="F302" s="12" t="str">
        <f>IF(ISERROR(VLOOKUP(H302,[1]final!H:H,1,0)),"0","1")</f>
        <v>1</v>
      </c>
      <c r="G302" s="13"/>
      <c r="H302" s="13" t="s">
        <v>614</v>
      </c>
      <c r="I302" s="13" t="s">
        <v>615</v>
      </c>
    </row>
    <row r="303" s="9" customFormat="1" spans="1:9">
      <c r="A303" s="12">
        <v>302</v>
      </c>
      <c r="B303" s="9" t="s">
        <v>9</v>
      </c>
      <c r="C303" s="13" t="s">
        <v>545</v>
      </c>
      <c r="D303" s="13" t="s">
        <v>11</v>
      </c>
      <c r="E303" s="12">
        <v>2015</v>
      </c>
      <c r="F303" s="12" t="str">
        <f>IF(ISERROR(VLOOKUP(H303,[1]final!H:H,1,0)),"0","1")</f>
        <v>0</v>
      </c>
      <c r="G303" s="13" t="s">
        <v>16</v>
      </c>
      <c r="H303" s="13" t="s">
        <v>616</v>
      </c>
      <c r="I303" s="13" t="s">
        <v>617</v>
      </c>
    </row>
    <row r="304" s="9" customFormat="1" spans="1:9">
      <c r="A304" s="12">
        <v>303</v>
      </c>
      <c r="B304" s="9" t="s">
        <v>9</v>
      </c>
      <c r="C304" s="13" t="s">
        <v>545</v>
      </c>
      <c r="D304" s="13" t="s">
        <v>121</v>
      </c>
      <c r="E304" s="12">
        <v>2015</v>
      </c>
      <c r="F304" s="12" t="str">
        <f>IF(ISERROR(VLOOKUP(H304,[1]final!H:H,1,0)),"0","1")</f>
        <v>0</v>
      </c>
      <c r="G304" s="13" t="s">
        <v>16</v>
      </c>
      <c r="H304" s="13" t="s">
        <v>618</v>
      </c>
      <c r="I304" s="13" t="s">
        <v>619</v>
      </c>
    </row>
    <row r="305" s="9" customFormat="1" spans="1:9">
      <c r="A305" s="12">
        <v>304</v>
      </c>
      <c r="B305" s="9" t="s">
        <v>9</v>
      </c>
      <c r="C305" s="13" t="s">
        <v>545</v>
      </c>
      <c r="D305" s="13" t="s">
        <v>11</v>
      </c>
      <c r="E305" s="12">
        <v>2012</v>
      </c>
      <c r="F305" s="12" t="str">
        <f>IF(ISERROR(VLOOKUP(H305,[1]final!H:H,1,0)),"0","1")</f>
        <v>1</v>
      </c>
      <c r="G305" s="13"/>
      <c r="H305" s="13" t="s">
        <v>620</v>
      </c>
      <c r="I305" s="13" t="s">
        <v>621</v>
      </c>
    </row>
    <row r="306" s="9" customFormat="1" spans="1:9">
      <c r="A306" s="12">
        <v>305</v>
      </c>
      <c r="B306" s="9" t="s">
        <v>9</v>
      </c>
      <c r="C306" s="13" t="s">
        <v>545</v>
      </c>
      <c r="D306" s="13" t="s">
        <v>54</v>
      </c>
      <c r="E306" s="12">
        <v>2023</v>
      </c>
      <c r="F306" s="12" t="str">
        <f>IF(ISERROR(VLOOKUP(H306,[1]final!H:H,1,0)),"0","1")</f>
        <v>1</v>
      </c>
      <c r="G306" s="13"/>
      <c r="H306" s="13" t="s">
        <v>622</v>
      </c>
      <c r="I306" s="13" t="s">
        <v>623</v>
      </c>
    </row>
    <row r="307" s="9" customFormat="1" spans="1:9">
      <c r="A307" s="12">
        <v>306</v>
      </c>
      <c r="B307" s="9" t="s">
        <v>9</v>
      </c>
      <c r="C307" s="13" t="s">
        <v>545</v>
      </c>
      <c r="D307" s="13" t="s">
        <v>11</v>
      </c>
      <c r="E307" s="12">
        <v>2009</v>
      </c>
      <c r="F307" s="12" t="str">
        <f>IF(ISERROR(VLOOKUP(H307,[1]final!H:H,1,0)),"0","1")</f>
        <v>0</v>
      </c>
      <c r="G307" s="13" t="s">
        <v>32</v>
      </c>
      <c r="H307" s="13" t="s">
        <v>624</v>
      </c>
      <c r="I307" s="13" t="s">
        <v>625</v>
      </c>
    </row>
    <row r="308" s="9" customFormat="1" spans="1:9">
      <c r="A308" s="12">
        <v>307</v>
      </c>
      <c r="B308" s="9" t="s">
        <v>9</v>
      </c>
      <c r="C308" s="13" t="s">
        <v>545</v>
      </c>
      <c r="D308" s="13" t="s">
        <v>11</v>
      </c>
      <c r="E308" s="12">
        <v>2000</v>
      </c>
      <c r="F308" s="12" t="str">
        <f>IF(ISERROR(VLOOKUP(H308,[1]final!H:H,1,0)),"0","1")</f>
        <v>0</v>
      </c>
      <c r="G308" s="13" t="s">
        <v>32</v>
      </c>
      <c r="H308" s="13" t="s">
        <v>626</v>
      </c>
      <c r="I308" s="13" t="s">
        <v>627</v>
      </c>
    </row>
    <row r="309" s="9" customFormat="1" spans="1:9">
      <c r="A309" s="12">
        <v>308</v>
      </c>
      <c r="B309" s="9" t="s">
        <v>9</v>
      </c>
      <c r="C309" s="13" t="s">
        <v>545</v>
      </c>
      <c r="D309" s="13" t="s">
        <v>11</v>
      </c>
      <c r="E309" s="12">
        <v>2008</v>
      </c>
      <c r="F309" s="12" t="str">
        <f>IF(ISERROR(VLOOKUP(H309,[1]final!H:H,1,0)),"0","1")</f>
        <v>0</v>
      </c>
      <c r="G309" s="13" t="s">
        <v>32</v>
      </c>
      <c r="H309" s="13" t="s">
        <v>628</v>
      </c>
      <c r="I309" s="13" t="s">
        <v>629</v>
      </c>
    </row>
    <row r="310" s="9" customFormat="1" spans="1:9">
      <c r="A310" s="12">
        <v>309</v>
      </c>
      <c r="B310" s="9" t="s">
        <v>9</v>
      </c>
      <c r="C310" s="13" t="s">
        <v>545</v>
      </c>
      <c r="D310" s="13" t="s">
        <v>11</v>
      </c>
      <c r="E310" s="12">
        <v>2019</v>
      </c>
      <c r="F310" s="12" t="str">
        <f>IF(ISERROR(VLOOKUP(H310,[1]final!H:H,1,0)),"0","1")</f>
        <v>0</v>
      </c>
      <c r="G310" s="13" t="s">
        <v>16</v>
      </c>
      <c r="H310" s="13" t="s">
        <v>630</v>
      </c>
      <c r="I310" s="13" t="s">
        <v>631</v>
      </c>
    </row>
    <row r="311" s="9" customFormat="1" spans="1:9">
      <c r="A311" s="12">
        <v>310</v>
      </c>
      <c r="B311" s="9" t="s">
        <v>9</v>
      </c>
      <c r="C311" s="13" t="s">
        <v>545</v>
      </c>
      <c r="D311" s="13" t="s">
        <v>11</v>
      </c>
      <c r="E311" s="12">
        <v>2011</v>
      </c>
      <c r="F311" s="12" t="str">
        <f>IF(ISERROR(VLOOKUP(H311,[1]final!H:H,1,0)),"0","1")</f>
        <v>1</v>
      </c>
      <c r="G311" s="13"/>
      <c r="H311" s="13" t="s">
        <v>632</v>
      </c>
      <c r="I311" s="13" t="s">
        <v>633</v>
      </c>
    </row>
    <row r="312" s="9" customFormat="1" spans="1:9">
      <c r="A312" s="12">
        <v>311</v>
      </c>
      <c r="B312" s="9" t="s">
        <v>9</v>
      </c>
      <c r="C312" s="13" t="s">
        <v>545</v>
      </c>
      <c r="D312" s="13" t="s">
        <v>11</v>
      </c>
      <c r="E312" s="12">
        <v>2020</v>
      </c>
      <c r="F312" s="12" t="str">
        <f>IF(ISERROR(VLOOKUP(H312,[1]final!H:H,1,0)),"0","1")</f>
        <v>1</v>
      </c>
      <c r="G312" s="13"/>
      <c r="H312" s="13" t="s">
        <v>634</v>
      </c>
      <c r="I312" s="13" t="s">
        <v>635</v>
      </c>
    </row>
    <row r="313" s="9" customFormat="1" spans="1:9">
      <c r="A313" s="12">
        <v>312</v>
      </c>
      <c r="B313" s="9" t="s">
        <v>9</v>
      </c>
      <c r="C313" s="13" t="s">
        <v>545</v>
      </c>
      <c r="D313" s="13" t="s">
        <v>11</v>
      </c>
      <c r="E313" s="12">
        <v>2019</v>
      </c>
      <c r="F313" s="12" t="str">
        <f>IF(ISERROR(VLOOKUP(H313,[1]final!H:H,1,0)),"0","1")</f>
        <v>1</v>
      </c>
      <c r="G313" s="13"/>
      <c r="H313" s="13" t="s">
        <v>636</v>
      </c>
      <c r="I313" s="13" t="s">
        <v>637</v>
      </c>
    </row>
    <row r="314" s="9" customFormat="1" spans="1:9">
      <c r="A314" s="12">
        <v>313</v>
      </c>
      <c r="B314" s="9" t="s">
        <v>9</v>
      </c>
      <c r="C314" s="13" t="s">
        <v>545</v>
      </c>
      <c r="D314" s="13" t="s">
        <v>121</v>
      </c>
      <c r="E314" s="12">
        <v>2010</v>
      </c>
      <c r="F314" s="12" t="str">
        <f>IF(ISERROR(VLOOKUP(H314,[1]final!H:H,1,0)),"0","1")</f>
        <v>1</v>
      </c>
      <c r="G314" s="13"/>
      <c r="H314" s="13" t="s">
        <v>638</v>
      </c>
      <c r="I314" s="13" t="s">
        <v>639</v>
      </c>
    </row>
    <row r="315" s="9" customFormat="1" spans="1:9">
      <c r="A315" s="12">
        <v>314</v>
      </c>
      <c r="B315" s="9" t="s">
        <v>9</v>
      </c>
      <c r="C315" s="13" t="s">
        <v>545</v>
      </c>
      <c r="D315" s="13" t="s">
        <v>11</v>
      </c>
      <c r="E315" s="12">
        <v>2011</v>
      </c>
      <c r="F315" s="12" t="str">
        <f>IF(ISERROR(VLOOKUP(H315,[1]final!H:H,1,0)),"0","1")</f>
        <v>0</v>
      </c>
      <c r="G315" s="13" t="s">
        <v>16</v>
      </c>
      <c r="H315" s="13" t="s">
        <v>640</v>
      </c>
      <c r="I315" s="13" t="s">
        <v>641</v>
      </c>
    </row>
    <row r="316" s="9" customFormat="1" spans="1:9">
      <c r="A316" s="12">
        <v>315</v>
      </c>
      <c r="B316" s="9" t="s">
        <v>9</v>
      </c>
      <c r="C316" s="13" t="s">
        <v>545</v>
      </c>
      <c r="D316" s="13" t="s">
        <v>11</v>
      </c>
      <c r="E316" s="12">
        <v>2007</v>
      </c>
      <c r="F316" s="12" t="str">
        <f>IF(ISERROR(VLOOKUP(H316,[1]final!H:H,1,0)),"0","1")</f>
        <v>0</v>
      </c>
      <c r="G316" s="13" t="s">
        <v>32</v>
      </c>
      <c r="H316" s="13" t="s">
        <v>642</v>
      </c>
      <c r="I316" s="13" t="s">
        <v>643</v>
      </c>
    </row>
    <row r="317" s="9" customFormat="1" spans="1:9">
      <c r="A317" s="12">
        <v>316</v>
      </c>
      <c r="B317" s="9" t="s">
        <v>9</v>
      </c>
      <c r="C317" s="13" t="s">
        <v>545</v>
      </c>
      <c r="D317" s="13" t="s">
        <v>11</v>
      </c>
      <c r="E317" s="12">
        <v>1995</v>
      </c>
      <c r="F317" s="12" t="str">
        <f>IF(ISERROR(VLOOKUP(H317,[1]final!H:H,1,0)),"0","1")</f>
        <v>0</v>
      </c>
      <c r="G317" s="13" t="s">
        <v>32</v>
      </c>
      <c r="H317" s="13" t="s">
        <v>644</v>
      </c>
      <c r="I317" s="13" t="s">
        <v>645</v>
      </c>
    </row>
    <row r="318" s="9" customFormat="1" spans="1:9">
      <c r="A318" s="12">
        <v>317</v>
      </c>
      <c r="B318" s="9" t="s">
        <v>9</v>
      </c>
      <c r="C318" s="13" t="s">
        <v>545</v>
      </c>
      <c r="D318" s="13" t="s">
        <v>54</v>
      </c>
      <c r="E318" s="12">
        <v>2003</v>
      </c>
      <c r="F318" s="12" t="str">
        <f>IF(ISERROR(VLOOKUP(H318,[1]final!H:H,1,0)),"0","1")</f>
        <v>0</v>
      </c>
      <c r="G318" s="13" t="s">
        <v>32</v>
      </c>
      <c r="H318" s="13" t="s">
        <v>646</v>
      </c>
      <c r="I318" s="13" t="s">
        <v>647</v>
      </c>
    </row>
    <row r="319" s="9" customFormat="1" spans="1:9">
      <c r="A319" s="12">
        <v>318</v>
      </c>
      <c r="B319" s="9" t="s">
        <v>9</v>
      </c>
      <c r="C319" s="13" t="s">
        <v>545</v>
      </c>
      <c r="D319" s="13" t="s">
        <v>11</v>
      </c>
      <c r="E319" s="12">
        <v>2016</v>
      </c>
      <c r="F319" s="12" t="str">
        <f>IF(ISERROR(VLOOKUP(H319,[1]final!H:H,1,0)),"0","1")</f>
        <v>0</v>
      </c>
      <c r="G319" s="13" t="s">
        <v>16</v>
      </c>
      <c r="H319" s="13" t="s">
        <v>648</v>
      </c>
      <c r="I319" s="13" t="s">
        <v>649</v>
      </c>
    </row>
    <row r="320" s="9" customFormat="1" spans="1:9">
      <c r="A320" s="12">
        <v>319</v>
      </c>
      <c r="B320" s="9" t="s">
        <v>9</v>
      </c>
      <c r="C320" s="13" t="s">
        <v>545</v>
      </c>
      <c r="D320" s="13" t="s">
        <v>11</v>
      </c>
      <c r="E320" s="12">
        <v>2007</v>
      </c>
      <c r="F320" s="12" t="str">
        <f>IF(ISERROR(VLOOKUP(H320,[1]final!H:H,1,0)),"0","1")</f>
        <v>0</v>
      </c>
      <c r="G320" s="13" t="s">
        <v>32</v>
      </c>
      <c r="H320" s="13" t="s">
        <v>650</v>
      </c>
      <c r="I320" s="13" t="s">
        <v>651</v>
      </c>
    </row>
    <row r="321" s="9" customFormat="1" spans="1:9">
      <c r="A321" s="12">
        <v>320</v>
      </c>
      <c r="B321" s="9" t="s">
        <v>9</v>
      </c>
      <c r="C321" s="13" t="s">
        <v>545</v>
      </c>
      <c r="D321" s="13" t="s">
        <v>11</v>
      </c>
      <c r="E321" s="12">
        <v>2007</v>
      </c>
      <c r="F321" s="12" t="str">
        <f>IF(ISERROR(VLOOKUP(H321,[1]final!H:H,1,0)),"0","1")</f>
        <v>0</v>
      </c>
      <c r="G321" s="13" t="s">
        <v>32</v>
      </c>
      <c r="H321" s="13" t="s">
        <v>652</v>
      </c>
      <c r="I321" s="13" t="s">
        <v>653</v>
      </c>
    </row>
    <row r="322" s="9" customFormat="1" spans="1:9">
      <c r="A322" s="12">
        <v>321</v>
      </c>
      <c r="B322" s="9" t="s">
        <v>9</v>
      </c>
      <c r="C322" s="13" t="s">
        <v>545</v>
      </c>
      <c r="D322" s="13" t="s">
        <v>11</v>
      </c>
      <c r="E322" s="12">
        <v>2010</v>
      </c>
      <c r="F322" s="12" t="str">
        <f>IF(ISERROR(VLOOKUP(H322,[1]final!H:H,1,0)),"0","1")</f>
        <v>0</v>
      </c>
      <c r="G322" s="13" t="s">
        <v>16</v>
      </c>
      <c r="H322" s="13" t="s">
        <v>654</v>
      </c>
      <c r="I322" s="13" t="s">
        <v>655</v>
      </c>
    </row>
    <row r="323" s="9" customFormat="1" spans="1:9">
      <c r="A323" s="12">
        <v>322</v>
      </c>
      <c r="B323" s="9" t="s">
        <v>9</v>
      </c>
      <c r="C323" s="13" t="s">
        <v>545</v>
      </c>
      <c r="D323" s="13" t="s">
        <v>11</v>
      </c>
      <c r="E323" s="12">
        <v>2021</v>
      </c>
      <c r="F323" s="12" t="str">
        <f>IF(ISERROR(VLOOKUP(H323,[1]final!H:H,1,0)),"0","1")</f>
        <v>1</v>
      </c>
      <c r="G323" s="13"/>
      <c r="H323" s="13" t="s">
        <v>656</v>
      </c>
      <c r="I323" s="13" t="s">
        <v>657</v>
      </c>
    </row>
    <row r="324" s="9" customFormat="1" spans="1:9">
      <c r="A324" s="12">
        <v>323</v>
      </c>
      <c r="B324" s="9" t="s">
        <v>9</v>
      </c>
      <c r="C324" s="13" t="s">
        <v>545</v>
      </c>
      <c r="D324" s="13" t="s">
        <v>121</v>
      </c>
      <c r="E324" s="12">
        <v>1993</v>
      </c>
      <c r="F324" s="12" t="str">
        <f>IF(ISERROR(VLOOKUP(H324,[1]final!H:H,1,0)),"0","1")</f>
        <v>0</v>
      </c>
      <c r="G324" s="13" t="s">
        <v>32</v>
      </c>
      <c r="H324" s="13" t="s">
        <v>658</v>
      </c>
      <c r="I324" s="13" t="s">
        <v>659</v>
      </c>
    </row>
    <row r="325" s="9" customFormat="1" spans="1:9">
      <c r="A325" s="12">
        <v>324</v>
      </c>
      <c r="B325" s="9" t="s">
        <v>9</v>
      </c>
      <c r="C325" s="13" t="s">
        <v>545</v>
      </c>
      <c r="D325" s="13" t="s">
        <v>11</v>
      </c>
      <c r="E325" s="12">
        <v>2013</v>
      </c>
      <c r="F325" s="12" t="str">
        <f>IF(ISERROR(VLOOKUP(H325,[1]final!H:H,1,0)),"0","1")</f>
        <v>0</v>
      </c>
      <c r="G325" s="13" t="s">
        <v>16</v>
      </c>
      <c r="H325" s="13" t="s">
        <v>660</v>
      </c>
      <c r="I325" s="13" t="s">
        <v>661</v>
      </c>
    </row>
    <row r="326" s="9" customFormat="1" spans="1:9">
      <c r="A326" s="12">
        <v>325</v>
      </c>
      <c r="B326" s="9" t="s">
        <v>9</v>
      </c>
      <c r="C326" s="13" t="s">
        <v>545</v>
      </c>
      <c r="D326" s="13" t="s">
        <v>121</v>
      </c>
      <c r="E326" s="12">
        <v>2010</v>
      </c>
      <c r="F326" s="12" t="str">
        <f>IF(ISERROR(VLOOKUP(H326,[1]final!H:H,1,0)),"0","1")</f>
        <v>0</v>
      </c>
      <c r="G326" s="13" t="s">
        <v>86</v>
      </c>
      <c r="H326" s="13" t="s">
        <v>662</v>
      </c>
      <c r="I326" s="13" t="s">
        <v>663</v>
      </c>
    </row>
    <row r="327" s="9" customFormat="1" spans="1:9">
      <c r="A327" s="12">
        <v>326</v>
      </c>
      <c r="B327" s="9" t="s">
        <v>9</v>
      </c>
      <c r="C327" s="13" t="s">
        <v>545</v>
      </c>
      <c r="D327" s="13" t="s">
        <v>11</v>
      </c>
      <c r="E327" s="12">
        <v>2015</v>
      </c>
      <c r="F327" s="12" t="str">
        <f>IF(ISERROR(VLOOKUP(H327,[1]final!H:H,1,0)),"0","1")</f>
        <v>0</v>
      </c>
      <c r="G327" s="13" t="s">
        <v>16</v>
      </c>
      <c r="H327" s="13" t="s">
        <v>664</v>
      </c>
      <c r="I327" s="13" t="s">
        <v>665</v>
      </c>
    </row>
    <row r="328" s="9" customFormat="1" spans="1:9">
      <c r="A328" s="12">
        <v>327</v>
      </c>
      <c r="B328" s="9" t="s">
        <v>9</v>
      </c>
      <c r="C328" s="13" t="s">
        <v>545</v>
      </c>
      <c r="D328" s="13" t="s">
        <v>121</v>
      </c>
      <c r="E328" s="12">
        <v>2014</v>
      </c>
      <c r="F328" s="12" t="str">
        <f>IF(ISERROR(VLOOKUP(H328,[1]final!H:H,1,0)),"0","1")</f>
        <v>0</v>
      </c>
      <c r="G328" s="13" t="s">
        <v>16</v>
      </c>
      <c r="H328" s="13" t="s">
        <v>666</v>
      </c>
      <c r="I328" s="13" t="s">
        <v>667</v>
      </c>
    </row>
    <row r="329" s="9" customFormat="1" spans="1:9">
      <c r="A329" s="12">
        <v>328</v>
      </c>
      <c r="B329" s="9" t="s">
        <v>9</v>
      </c>
      <c r="C329" s="13" t="s">
        <v>545</v>
      </c>
      <c r="D329" s="13" t="s">
        <v>11</v>
      </c>
      <c r="E329" s="12">
        <v>2012</v>
      </c>
      <c r="F329" s="12" t="str">
        <f>IF(ISERROR(VLOOKUP(H329,[1]final!H:H,1,0)),"0","1")</f>
        <v>1</v>
      </c>
      <c r="G329" s="13"/>
      <c r="H329" s="13" t="s">
        <v>668</v>
      </c>
      <c r="I329" s="13" t="s">
        <v>669</v>
      </c>
    </row>
    <row r="330" s="9" customFormat="1" spans="1:9">
      <c r="A330" s="12">
        <v>329</v>
      </c>
      <c r="B330" s="9" t="s">
        <v>9</v>
      </c>
      <c r="C330" s="13" t="s">
        <v>545</v>
      </c>
      <c r="D330" s="13" t="s">
        <v>54</v>
      </c>
      <c r="E330" s="12">
        <v>2009</v>
      </c>
      <c r="F330" s="12" t="str">
        <f>IF(ISERROR(VLOOKUP(H330,[1]final!H:H,1,0)),"0","1")</f>
        <v>0</v>
      </c>
      <c r="G330" s="13" t="s">
        <v>32</v>
      </c>
      <c r="H330" s="13" t="s">
        <v>670</v>
      </c>
      <c r="I330" s="13" t="s">
        <v>671</v>
      </c>
    </row>
    <row r="331" s="9" customFormat="1" spans="1:9">
      <c r="A331" s="12">
        <v>330</v>
      </c>
      <c r="B331" s="9" t="s">
        <v>9</v>
      </c>
      <c r="C331" s="13" t="s">
        <v>545</v>
      </c>
      <c r="D331" s="13" t="s">
        <v>54</v>
      </c>
      <c r="E331" s="12">
        <v>2002</v>
      </c>
      <c r="F331" s="12" t="str">
        <f>IF(ISERROR(VLOOKUP(H331,[1]final!H:H,1,0)),"0","1")</f>
        <v>0</v>
      </c>
      <c r="G331" s="13" t="s">
        <v>32</v>
      </c>
      <c r="H331" s="13" t="s">
        <v>672</v>
      </c>
      <c r="I331" s="13"/>
    </row>
    <row r="332" s="9" customFormat="1" spans="1:9">
      <c r="A332" s="12">
        <v>331</v>
      </c>
      <c r="B332" s="9" t="s">
        <v>9</v>
      </c>
      <c r="C332" s="13" t="s">
        <v>545</v>
      </c>
      <c r="D332" s="13" t="s">
        <v>54</v>
      </c>
      <c r="E332" s="12">
        <v>2017</v>
      </c>
      <c r="F332" s="12" t="str">
        <f>IF(ISERROR(VLOOKUP(H332,[1]final!H:H,1,0)),"0","1")</f>
        <v>1</v>
      </c>
      <c r="G332" s="13"/>
      <c r="H332" s="13" t="s">
        <v>673</v>
      </c>
      <c r="I332" s="13" t="s">
        <v>674</v>
      </c>
    </row>
    <row r="333" s="9" customFormat="1" spans="1:9">
      <c r="A333" s="12">
        <v>332</v>
      </c>
      <c r="B333" s="9" t="s">
        <v>9</v>
      </c>
      <c r="C333" s="13" t="s">
        <v>545</v>
      </c>
      <c r="D333" s="13" t="s">
        <v>11</v>
      </c>
      <c r="E333" s="12">
        <v>2016</v>
      </c>
      <c r="F333" s="12" t="str">
        <f>IF(ISERROR(VLOOKUP(H333,[1]final!H:H,1,0)),"0","1")</f>
        <v>1</v>
      </c>
      <c r="G333" s="13"/>
      <c r="H333" s="13" t="s">
        <v>675</v>
      </c>
      <c r="I333" s="13" t="s">
        <v>676</v>
      </c>
    </row>
    <row r="334" s="9" customFormat="1" spans="1:9">
      <c r="A334" s="12">
        <v>333</v>
      </c>
      <c r="B334" s="9" t="s">
        <v>9</v>
      </c>
      <c r="C334" s="13" t="s">
        <v>545</v>
      </c>
      <c r="D334" s="13" t="s">
        <v>11</v>
      </c>
      <c r="E334" s="12">
        <v>2017</v>
      </c>
      <c r="F334" s="12" t="str">
        <f>IF(ISERROR(VLOOKUP(H334,[1]final!H:H,1,0)),"0","1")</f>
        <v>1</v>
      </c>
      <c r="G334" s="13"/>
      <c r="H334" s="13" t="s">
        <v>677</v>
      </c>
      <c r="I334" s="13" t="s">
        <v>678</v>
      </c>
    </row>
    <row r="335" s="9" customFormat="1" spans="1:9">
      <c r="A335" s="12">
        <v>334</v>
      </c>
      <c r="B335" s="9" t="s">
        <v>9</v>
      </c>
      <c r="C335" s="13" t="s">
        <v>545</v>
      </c>
      <c r="D335" s="13" t="s">
        <v>11</v>
      </c>
      <c r="E335" s="12">
        <v>2011</v>
      </c>
      <c r="F335" s="12" t="str">
        <f>IF(ISERROR(VLOOKUP(H335,[1]final!H:H,1,0)),"0","1")</f>
        <v>0</v>
      </c>
      <c r="G335" s="13" t="s">
        <v>16</v>
      </c>
      <c r="H335" s="13" t="s">
        <v>679</v>
      </c>
      <c r="I335" s="13" t="s">
        <v>680</v>
      </c>
    </row>
    <row r="336" s="9" customFormat="1" spans="1:9">
      <c r="A336" s="12">
        <v>335</v>
      </c>
      <c r="B336" s="9" t="s">
        <v>9</v>
      </c>
      <c r="C336" s="13" t="s">
        <v>545</v>
      </c>
      <c r="D336" s="13" t="s">
        <v>54</v>
      </c>
      <c r="E336" s="12">
        <v>2013</v>
      </c>
      <c r="F336" s="12" t="str">
        <f>IF(ISERROR(VLOOKUP(H336,[1]final!H:H,1,0)),"0","1")</f>
        <v>1</v>
      </c>
      <c r="G336" s="13"/>
      <c r="H336" s="13" t="s">
        <v>681</v>
      </c>
      <c r="I336" s="13" t="s">
        <v>682</v>
      </c>
    </row>
    <row r="337" s="9" customFormat="1" spans="1:9">
      <c r="A337" s="12">
        <v>336</v>
      </c>
      <c r="B337" s="9" t="s">
        <v>9</v>
      </c>
      <c r="C337" s="13" t="s">
        <v>545</v>
      </c>
      <c r="D337" s="13" t="s">
        <v>11</v>
      </c>
      <c r="E337" s="12">
        <v>2010</v>
      </c>
      <c r="F337" s="12" t="str">
        <f>IF(ISERROR(VLOOKUP(H337,[1]final!H:H,1,0)),"0","1")</f>
        <v>0</v>
      </c>
      <c r="G337" s="13" t="s">
        <v>16</v>
      </c>
      <c r="H337" s="13" t="s">
        <v>683</v>
      </c>
      <c r="I337" s="13" t="s">
        <v>684</v>
      </c>
    </row>
    <row r="338" s="9" customFormat="1" spans="1:9">
      <c r="A338" s="12">
        <v>337</v>
      </c>
      <c r="B338" s="9" t="s">
        <v>9</v>
      </c>
      <c r="C338" s="13" t="s">
        <v>545</v>
      </c>
      <c r="D338" s="13" t="s">
        <v>11</v>
      </c>
      <c r="E338" s="12">
        <v>2020</v>
      </c>
      <c r="F338" s="12" t="str">
        <f>IF(ISERROR(VLOOKUP(H338,[1]final!H:H,1,0)),"0","1")</f>
        <v>0</v>
      </c>
      <c r="G338" s="13" t="s">
        <v>16</v>
      </c>
      <c r="H338" s="13" t="s">
        <v>685</v>
      </c>
      <c r="I338" s="13" t="s">
        <v>686</v>
      </c>
    </row>
    <row r="339" s="9" customFormat="1" spans="1:9">
      <c r="A339" s="12">
        <v>338</v>
      </c>
      <c r="B339" s="9" t="s">
        <v>9</v>
      </c>
      <c r="C339" s="13" t="s">
        <v>545</v>
      </c>
      <c r="D339" s="13" t="s">
        <v>121</v>
      </c>
      <c r="E339" s="12">
        <v>2010</v>
      </c>
      <c r="F339" s="12" t="str">
        <f>IF(ISERROR(VLOOKUP(H339,[1]final!H:H,1,0)),"0","1")</f>
        <v>0</v>
      </c>
      <c r="G339" s="13" t="s">
        <v>16</v>
      </c>
      <c r="H339" s="13" t="s">
        <v>687</v>
      </c>
      <c r="I339" s="13" t="s">
        <v>688</v>
      </c>
    </row>
    <row r="340" s="9" customFormat="1" spans="1:9">
      <c r="A340" s="12">
        <v>339</v>
      </c>
      <c r="B340" s="9" t="s">
        <v>9</v>
      </c>
      <c r="C340" s="13" t="s">
        <v>545</v>
      </c>
      <c r="D340" s="13" t="s">
        <v>54</v>
      </c>
      <c r="E340" s="12">
        <v>2009</v>
      </c>
      <c r="F340" s="12" t="str">
        <f>IF(ISERROR(VLOOKUP(H340,[1]final!H:H,1,0)),"0","1")</f>
        <v>0</v>
      </c>
      <c r="G340" s="13" t="s">
        <v>32</v>
      </c>
      <c r="H340" s="13" t="s">
        <v>689</v>
      </c>
      <c r="I340" s="13" t="s">
        <v>690</v>
      </c>
    </row>
    <row r="341" s="9" customFormat="1" spans="1:9">
      <c r="A341" s="12">
        <v>340</v>
      </c>
      <c r="B341" s="9" t="s">
        <v>9</v>
      </c>
      <c r="C341" s="13" t="s">
        <v>545</v>
      </c>
      <c r="D341" s="13" t="s">
        <v>11</v>
      </c>
      <c r="E341" s="12">
        <v>2017</v>
      </c>
      <c r="F341" s="12" t="str">
        <f>IF(ISERROR(VLOOKUP(H341,[1]final!H:H,1,0)),"0","1")</f>
        <v>1</v>
      </c>
      <c r="G341" s="13"/>
      <c r="H341" s="13" t="s">
        <v>691</v>
      </c>
      <c r="I341" s="13" t="s">
        <v>692</v>
      </c>
    </row>
    <row r="342" s="9" customFormat="1" spans="1:9">
      <c r="A342" s="12">
        <v>341</v>
      </c>
      <c r="B342" s="9" t="s">
        <v>9</v>
      </c>
      <c r="C342" s="13" t="s">
        <v>545</v>
      </c>
      <c r="D342" s="13" t="s">
        <v>11</v>
      </c>
      <c r="E342" s="12">
        <v>2018</v>
      </c>
      <c r="F342" s="12" t="str">
        <f>IF(ISERROR(VLOOKUP(H342,[1]final!H:H,1,0)),"0","1")</f>
        <v>0</v>
      </c>
      <c r="G342" s="13" t="s">
        <v>16</v>
      </c>
      <c r="H342" s="13" t="s">
        <v>693</v>
      </c>
      <c r="I342" s="13" t="s">
        <v>694</v>
      </c>
    </row>
    <row r="343" s="9" customFormat="1" spans="1:9">
      <c r="A343" s="12">
        <v>342</v>
      </c>
      <c r="B343" s="9" t="s">
        <v>9</v>
      </c>
      <c r="C343" s="13" t="s">
        <v>545</v>
      </c>
      <c r="D343" s="13" t="s">
        <v>11</v>
      </c>
      <c r="E343" s="12">
        <v>2024</v>
      </c>
      <c r="F343" s="12" t="str">
        <f>IF(ISERROR(VLOOKUP(H343,[1]final!H:H,1,0)),"0","1")</f>
        <v>0</v>
      </c>
      <c r="G343" s="13" t="s">
        <v>16</v>
      </c>
      <c r="H343" s="13" t="s">
        <v>695</v>
      </c>
      <c r="I343" s="13" t="s">
        <v>696</v>
      </c>
    </row>
    <row r="344" s="9" customFormat="1" spans="1:9">
      <c r="A344" s="12">
        <v>343</v>
      </c>
      <c r="B344" s="9" t="s">
        <v>9</v>
      </c>
      <c r="C344" s="13" t="s">
        <v>545</v>
      </c>
      <c r="D344" s="13" t="s">
        <v>11</v>
      </c>
      <c r="E344" s="12">
        <v>2014</v>
      </c>
      <c r="F344" s="12" t="str">
        <f>IF(ISERROR(VLOOKUP(H344,[1]final!H:H,1,0)),"0","1")</f>
        <v>0</v>
      </c>
      <c r="G344" s="13" t="s">
        <v>16</v>
      </c>
      <c r="H344" s="13" t="s">
        <v>697</v>
      </c>
      <c r="I344" s="13" t="s">
        <v>698</v>
      </c>
    </row>
    <row r="345" s="9" customFormat="1" spans="1:9">
      <c r="A345" s="12">
        <v>344</v>
      </c>
      <c r="B345" s="9" t="s">
        <v>9</v>
      </c>
      <c r="C345" s="13" t="s">
        <v>545</v>
      </c>
      <c r="D345" s="13" t="s">
        <v>54</v>
      </c>
      <c r="E345" s="12">
        <v>2020</v>
      </c>
      <c r="F345" s="12" t="str">
        <f>IF(ISERROR(VLOOKUP(H345,[1]final!H:H,1,0)),"0","1")</f>
        <v>1</v>
      </c>
      <c r="G345" s="13"/>
      <c r="H345" s="13" t="s">
        <v>699</v>
      </c>
      <c r="I345" s="13" t="s">
        <v>700</v>
      </c>
    </row>
    <row r="346" s="9" customFormat="1" spans="1:9">
      <c r="A346" s="12">
        <v>345</v>
      </c>
      <c r="B346" s="9" t="s">
        <v>9</v>
      </c>
      <c r="C346" s="13" t="s">
        <v>545</v>
      </c>
      <c r="D346" s="13" t="s">
        <v>54</v>
      </c>
      <c r="E346" s="12">
        <v>2010</v>
      </c>
      <c r="F346" s="12" t="str">
        <f>IF(ISERROR(VLOOKUP(H346,[1]final!H:H,1,0)),"0","1")</f>
        <v>1</v>
      </c>
      <c r="G346" s="13"/>
      <c r="H346" s="13" t="s">
        <v>701</v>
      </c>
      <c r="I346" s="13" t="s">
        <v>702</v>
      </c>
    </row>
    <row r="347" s="9" customFormat="1" spans="1:9">
      <c r="A347" s="12">
        <v>346</v>
      </c>
      <c r="B347" s="9" t="s">
        <v>9</v>
      </c>
      <c r="C347" s="13" t="s">
        <v>545</v>
      </c>
      <c r="D347" s="13" t="s">
        <v>54</v>
      </c>
      <c r="E347" s="12">
        <v>2022</v>
      </c>
      <c r="F347" s="12" t="str">
        <f>IF(ISERROR(VLOOKUP(H347,[1]final!H:H,1,0)),"0","1")</f>
        <v>0</v>
      </c>
      <c r="G347" s="13" t="s">
        <v>16</v>
      </c>
      <c r="H347" s="13" t="s">
        <v>703</v>
      </c>
      <c r="I347" s="13" t="s">
        <v>704</v>
      </c>
    </row>
    <row r="348" s="9" customFormat="1" spans="1:9">
      <c r="A348" s="12">
        <v>347</v>
      </c>
      <c r="B348" s="9" t="s">
        <v>9</v>
      </c>
      <c r="C348" s="13" t="s">
        <v>545</v>
      </c>
      <c r="D348" s="13" t="s">
        <v>54</v>
      </c>
      <c r="E348" s="12">
        <v>2022</v>
      </c>
      <c r="F348" s="12" t="str">
        <f>IF(ISERROR(VLOOKUP(H348,[1]final!H:H,1,0)),"0","1")</f>
        <v>1</v>
      </c>
      <c r="G348" s="13"/>
      <c r="H348" s="13" t="s">
        <v>705</v>
      </c>
      <c r="I348" s="13" t="s">
        <v>706</v>
      </c>
    </row>
    <row r="349" s="9" customFormat="1" spans="1:9">
      <c r="A349" s="12">
        <v>348</v>
      </c>
      <c r="B349" s="9" t="s">
        <v>9</v>
      </c>
      <c r="C349" s="13" t="s">
        <v>545</v>
      </c>
      <c r="D349" s="13" t="s">
        <v>11</v>
      </c>
      <c r="E349" s="12">
        <v>2012</v>
      </c>
      <c r="F349" s="12" t="str">
        <f>IF(ISERROR(VLOOKUP(H349,[1]final!H:H,1,0)),"0","1")</f>
        <v>0</v>
      </c>
      <c r="G349" s="13" t="s">
        <v>16</v>
      </c>
      <c r="H349" s="13" t="s">
        <v>707</v>
      </c>
      <c r="I349" s="13" t="s">
        <v>708</v>
      </c>
    </row>
    <row r="350" s="9" customFormat="1" spans="1:9">
      <c r="A350" s="12">
        <v>349</v>
      </c>
      <c r="B350" s="9" t="s">
        <v>9</v>
      </c>
      <c r="C350" s="13" t="s">
        <v>545</v>
      </c>
      <c r="D350" s="13" t="s">
        <v>121</v>
      </c>
      <c r="E350" s="12">
        <v>2010</v>
      </c>
      <c r="F350" s="12" t="str">
        <f>IF(ISERROR(VLOOKUP(H350,[1]final!H:H,1,0)),"0","1")</f>
        <v>1</v>
      </c>
      <c r="G350" s="13"/>
      <c r="H350" s="13" t="s">
        <v>709</v>
      </c>
      <c r="I350" s="13" t="s">
        <v>710</v>
      </c>
    </row>
    <row r="351" s="9" customFormat="1" spans="1:9">
      <c r="A351" s="12">
        <v>350</v>
      </c>
      <c r="B351" s="9" t="s">
        <v>9</v>
      </c>
      <c r="C351" s="13" t="s">
        <v>545</v>
      </c>
      <c r="D351" s="13" t="s">
        <v>54</v>
      </c>
      <c r="E351" s="12">
        <v>2006</v>
      </c>
      <c r="F351" s="12" t="str">
        <f>IF(ISERROR(VLOOKUP(H351,[1]final!H:H,1,0)),"0","1")</f>
        <v>0</v>
      </c>
      <c r="G351" s="13" t="s">
        <v>32</v>
      </c>
      <c r="H351" s="13" t="s">
        <v>711</v>
      </c>
      <c r="I351" s="13" t="s">
        <v>712</v>
      </c>
    </row>
    <row r="352" s="9" customFormat="1" spans="1:9">
      <c r="A352" s="12">
        <v>351</v>
      </c>
      <c r="B352" s="9" t="s">
        <v>9</v>
      </c>
      <c r="C352" s="13" t="s">
        <v>545</v>
      </c>
      <c r="D352" s="13" t="s">
        <v>54</v>
      </c>
      <c r="E352" s="12">
        <v>2024</v>
      </c>
      <c r="F352" s="12" t="str">
        <f>IF(ISERROR(VLOOKUP(H352,[1]final!H:H,1,0)),"0","1")</f>
        <v>1</v>
      </c>
      <c r="G352" s="13"/>
      <c r="H352" s="13" t="s">
        <v>713</v>
      </c>
      <c r="I352" s="13" t="s">
        <v>714</v>
      </c>
    </row>
    <row r="353" s="9" customFormat="1" spans="1:9">
      <c r="A353" s="12">
        <v>352</v>
      </c>
      <c r="B353" s="9" t="s">
        <v>9</v>
      </c>
      <c r="C353" s="13" t="s">
        <v>545</v>
      </c>
      <c r="D353" s="13" t="s">
        <v>11</v>
      </c>
      <c r="E353" s="12">
        <v>2012</v>
      </c>
      <c r="F353" s="12" t="str">
        <f>IF(ISERROR(VLOOKUP(H353,[1]final!H:H,1,0)),"0","1")</f>
        <v>0</v>
      </c>
      <c r="G353" s="13" t="s">
        <v>16</v>
      </c>
      <c r="H353" s="13" t="s">
        <v>715</v>
      </c>
      <c r="I353" s="13" t="s">
        <v>716</v>
      </c>
    </row>
    <row r="354" s="9" customFormat="1" spans="1:9">
      <c r="A354" s="12">
        <v>353</v>
      </c>
      <c r="B354" s="9" t="s">
        <v>9</v>
      </c>
      <c r="C354" s="13" t="s">
        <v>545</v>
      </c>
      <c r="D354" s="13" t="s">
        <v>54</v>
      </c>
      <c r="E354" s="12">
        <v>2021</v>
      </c>
      <c r="F354" s="12" t="str">
        <f>IF(ISERROR(VLOOKUP(H354,[1]final!H:H,1,0)),"0","1")</f>
        <v>1</v>
      </c>
      <c r="G354" s="13"/>
      <c r="H354" s="13" t="s">
        <v>717</v>
      </c>
      <c r="I354" s="13" t="s">
        <v>718</v>
      </c>
    </row>
    <row r="355" s="9" customFormat="1" spans="1:9">
      <c r="A355" s="12">
        <v>354</v>
      </c>
      <c r="B355" s="9" t="s">
        <v>9</v>
      </c>
      <c r="C355" s="13" t="s">
        <v>545</v>
      </c>
      <c r="D355" s="13" t="s">
        <v>11</v>
      </c>
      <c r="E355" s="12">
        <v>2008</v>
      </c>
      <c r="F355" s="12" t="str">
        <f>IF(ISERROR(VLOOKUP(H355,[1]final!H:H,1,0)),"0","1")</f>
        <v>0</v>
      </c>
      <c r="G355" s="13" t="s">
        <v>32</v>
      </c>
      <c r="H355" s="13" t="s">
        <v>719</v>
      </c>
      <c r="I355" s="13" t="s">
        <v>720</v>
      </c>
    </row>
    <row r="356" s="9" customFormat="1" spans="1:9">
      <c r="A356" s="12">
        <v>355</v>
      </c>
      <c r="B356" s="9" t="s">
        <v>9</v>
      </c>
      <c r="C356" s="13" t="s">
        <v>545</v>
      </c>
      <c r="D356" s="13" t="s">
        <v>54</v>
      </c>
      <c r="E356" s="12">
        <v>2014</v>
      </c>
      <c r="F356" s="12" t="str">
        <f>IF(ISERROR(VLOOKUP(H356,[1]final!H:H,1,0)),"0","1")</f>
        <v>0</v>
      </c>
      <c r="G356" s="13" t="s">
        <v>16</v>
      </c>
      <c r="H356" s="13" t="s">
        <v>721</v>
      </c>
      <c r="I356" s="13" t="s">
        <v>722</v>
      </c>
    </row>
    <row r="357" s="9" customFormat="1" spans="1:9">
      <c r="A357" s="12">
        <v>356</v>
      </c>
      <c r="B357" s="9" t="s">
        <v>9</v>
      </c>
      <c r="C357" s="13" t="s">
        <v>545</v>
      </c>
      <c r="D357" s="13" t="s">
        <v>54</v>
      </c>
      <c r="E357" s="12">
        <v>2015</v>
      </c>
      <c r="F357" s="12" t="str">
        <f>IF(ISERROR(VLOOKUP(H357,[1]final!H:H,1,0)),"0","1")</f>
        <v>1</v>
      </c>
      <c r="G357" s="13"/>
      <c r="H357" s="13" t="s">
        <v>723</v>
      </c>
      <c r="I357" s="13" t="s">
        <v>724</v>
      </c>
    </row>
    <row r="358" s="9" customFormat="1" spans="1:9">
      <c r="A358" s="12">
        <v>357</v>
      </c>
      <c r="B358" s="9" t="s">
        <v>9</v>
      </c>
      <c r="C358" s="13" t="s">
        <v>545</v>
      </c>
      <c r="D358" s="13" t="s">
        <v>121</v>
      </c>
      <c r="E358" s="12">
        <v>2016</v>
      </c>
      <c r="F358" s="12" t="str">
        <f>IF(ISERROR(VLOOKUP(H358,[1]final!H:H,1,0)),"0","1")</f>
        <v>0</v>
      </c>
      <c r="G358" s="13" t="s">
        <v>16</v>
      </c>
      <c r="H358" s="13" t="s">
        <v>725</v>
      </c>
      <c r="I358" s="13" t="s">
        <v>726</v>
      </c>
    </row>
    <row r="359" s="9" customFormat="1" spans="1:9">
      <c r="A359" s="12">
        <v>358</v>
      </c>
      <c r="B359" s="9" t="s">
        <v>9</v>
      </c>
      <c r="C359" s="13" t="s">
        <v>545</v>
      </c>
      <c r="D359" s="13" t="s">
        <v>54</v>
      </c>
      <c r="E359" s="12">
        <v>2012</v>
      </c>
      <c r="F359" s="12" t="str">
        <f>IF(ISERROR(VLOOKUP(H359,[1]final!H:H,1,0)),"0","1")</f>
        <v>1</v>
      </c>
      <c r="G359" s="13"/>
      <c r="H359" s="13" t="s">
        <v>727</v>
      </c>
      <c r="I359" s="13" t="s">
        <v>728</v>
      </c>
    </row>
    <row r="360" s="9" customFormat="1" spans="1:9">
      <c r="A360" s="12">
        <v>359</v>
      </c>
      <c r="B360" s="9" t="s">
        <v>9</v>
      </c>
      <c r="C360" s="13" t="s">
        <v>545</v>
      </c>
      <c r="D360" s="13" t="s">
        <v>54</v>
      </c>
      <c r="E360" s="12">
        <v>2008</v>
      </c>
      <c r="F360" s="12" t="str">
        <f>IF(ISERROR(VLOOKUP(H360,[1]final!H:H,1,0)),"0","1")</f>
        <v>0</v>
      </c>
      <c r="G360" s="13" t="s">
        <v>32</v>
      </c>
      <c r="H360" s="13" t="s">
        <v>729</v>
      </c>
      <c r="I360" s="13" t="s">
        <v>730</v>
      </c>
    </row>
    <row r="361" s="9" customFormat="1" spans="1:9">
      <c r="A361" s="12">
        <v>360</v>
      </c>
      <c r="B361" s="9" t="s">
        <v>195</v>
      </c>
      <c r="C361" s="13" t="s">
        <v>545</v>
      </c>
      <c r="D361" s="13" t="s">
        <v>11</v>
      </c>
      <c r="E361" s="12">
        <v>2013</v>
      </c>
      <c r="F361" s="12" t="str">
        <f>IF(ISERROR(VLOOKUP(H361,[1]final!H:H,1,0)),"0","1")</f>
        <v>0</v>
      </c>
      <c r="G361" s="13" t="s">
        <v>19</v>
      </c>
      <c r="H361" s="13" t="s">
        <v>731</v>
      </c>
      <c r="I361" s="13" t="s">
        <v>732</v>
      </c>
    </row>
    <row r="362" s="9" customFormat="1" spans="1:9">
      <c r="A362" s="12">
        <v>361</v>
      </c>
      <c r="B362" s="9" t="s">
        <v>195</v>
      </c>
      <c r="C362" s="13" t="s">
        <v>545</v>
      </c>
      <c r="D362" s="13" t="s">
        <v>11</v>
      </c>
      <c r="E362" s="12">
        <v>2014</v>
      </c>
      <c r="F362" s="12" t="str">
        <f>IF(ISERROR(VLOOKUP(H362,[1]final!H:H,1,0)),"0","1")</f>
        <v>0</v>
      </c>
      <c r="G362" s="13" t="s">
        <v>19</v>
      </c>
      <c r="H362" s="13" t="s">
        <v>733</v>
      </c>
      <c r="I362" s="13" t="s">
        <v>734</v>
      </c>
    </row>
    <row r="363" s="9" customFormat="1" spans="1:9">
      <c r="A363" s="12">
        <v>362</v>
      </c>
      <c r="B363" s="9" t="s">
        <v>195</v>
      </c>
      <c r="C363" s="13" t="s">
        <v>545</v>
      </c>
      <c r="D363" s="13" t="s">
        <v>54</v>
      </c>
      <c r="E363" s="12">
        <v>2014</v>
      </c>
      <c r="F363" s="12" t="str">
        <f>IF(ISERROR(VLOOKUP(H363,[1]final!H:H,1,0)),"0","1")</f>
        <v>0</v>
      </c>
      <c r="G363" s="13" t="s">
        <v>19</v>
      </c>
      <c r="H363" s="13" t="s">
        <v>735</v>
      </c>
      <c r="I363" s="13" t="s">
        <v>736</v>
      </c>
    </row>
    <row r="364" s="9" customFormat="1" spans="1:9">
      <c r="A364" s="12">
        <v>363</v>
      </c>
      <c r="B364" s="9" t="s">
        <v>195</v>
      </c>
      <c r="C364" s="13" t="s">
        <v>545</v>
      </c>
      <c r="D364" s="13" t="s">
        <v>11</v>
      </c>
      <c r="E364" s="12">
        <v>2011</v>
      </c>
      <c r="F364" s="12" t="str">
        <f>IF(ISERROR(VLOOKUP(H364,[1]final!H:H,1,0)),"0","1")</f>
        <v>0</v>
      </c>
      <c r="G364" s="13" t="s">
        <v>19</v>
      </c>
      <c r="H364" s="13" t="s">
        <v>737</v>
      </c>
      <c r="I364" s="13" t="s">
        <v>738</v>
      </c>
    </row>
    <row r="365" s="9" customFormat="1" spans="1:9">
      <c r="A365" s="12">
        <v>364</v>
      </c>
      <c r="B365" s="9" t="s">
        <v>195</v>
      </c>
      <c r="C365" s="13" t="s">
        <v>545</v>
      </c>
      <c r="D365" s="13" t="s">
        <v>54</v>
      </c>
      <c r="E365" s="12">
        <v>2004</v>
      </c>
      <c r="F365" s="12" t="str">
        <f>IF(ISERROR(VLOOKUP(H365,[1]final!H:H,1,0)),"0","1")</f>
        <v>0</v>
      </c>
      <c r="G365" s="13" t="s">
        <v>32</v>
      </c>
      <c r="H365" s="13" t="s">
        <v>739</v>
      </c>
      <c r="I365" s="13" t="s">
        <v>740</v>
      </c>
    </row>
    <row r="366" s="9" customFormat="1" spans="1:9">
      <c r="A366" s="12">
        <v>365</v>
      </c>
      <c r="B366" s="9" t="s">
        <v>195</v>
      </c>
      <c r="C366" s="13" t="s">
        <v>545</v>
      </c>
      <c r="D366" s="13" t="s">
        <v>11</v>
      </c>
      <c r="E366" s="12">
        <v>2019</v>
      </c>
      <c r="F366" s="12" t="str">
        <f>IF(ISERROR(VLOOKUP(H366,[1]final!H:H,1,0)),"0","1")</f>
        <v>0</v>
      </c>
      <c r="G366" s="13" t="s">
        <v>19</v>
      </c>
      <c r="H366" s="13" t="s">
        <v>741</v>
      </c>
      <c r="I366" s="13" t="s">
        <v>742</v>
      </c>
    </row>
    <row r="367" s="9" customFormat="1" spans="1:9">
      <c r="A367" s="12">
        <v>366</v>
      </c>
      <c r="B367" s="9" t="s">
        <v>195</v>
      </c>
      <c r="C367" s="13" t="s">
        <v>545</v>
      </c>
      <c r="D367" s="13" t="s">
        <v>121</v>
      </c>
      <c r="E367" s="12">
        <v>2001</v>
      </c>
      <c r="F367" s="12" t="str">
        <f>IF(ISERROR(VLOOKUP(H367,[1]final!H:H,1,0)),"0","1")</f>
        <v>0</v>
      </c>
      <c r="G367" s="13" t="s">
        <v>32</v>
      </c>
      <c r="H367" s="13" t="s">
        <v>743</v>
      </c>
      <c r="I367" s="13" t="s">
        <v>744</v>
      </c>
    </row>
    <row r="368" s="9" customFormat="1" spans="1:9">
      <c r="A368" s="12">
        <v>367</v>
      </c>
      <c r="B368" s="9" t="s">
        <v>195</v>
      </c>
      <c r="C368" s="13" t="s">
        <v>545</v>
      </c>
      <c r="D368" s="13" t="s">
        <v>11</v>
      </c>
      <c r="E368" s="12">
        <v>2009</v>
      </c>
      <c r="F368" s="12" t="str">
        <f>IF(ISERROR(VLOOKUP(H368,[1]final!H:H,1,0)),"0","1")</f>
        <v>0</v>
      </c>
      <c r="G368" s="13" t="s">
        <v>32</v>
      </c>
      <c r="H368" s="13" t="s">
        <v>745</v>
      </c>
      <c r="I368" s="13" t="s">
        <v>746</v>
      </c>
    </row>
    <row r="369" s="9" customFormat="1" spans="1:9">
      <c r="A369" s="12">
        <v>368</v>
      </c>
      <c r="B369" s="9" t="s">
        <v>195</v>
      </c>
      <c r="C369" s="13" t="s">
        <v>545</v>
      </c>
      <c r="D369" s="13" t="s">
        <v>121</v>
      </c>
      <c r="E369" s="12">
        <v>2013</v>
      </c>
      <c r="F369" s="12" t="str">
        <f>IF(ISERROR(VLOOKUP(H369,[1]final!H:H,1,0)),"0","1")</f>
        <v>0</v>
      </c>
      <c r="G369" s="13" t="s">
        <v>19</v>
      </c>
      <c r="H369" s="13" t="s">
        <v>747</v>
      </c>
      <c r="I369" s="13" t="s">
        <v>748</v>
      </c>
    </row>
    <row r="370" s="9" customFormat="1" spans="1:9">
      <c r="A370" s="12">
        <v>369</v>
      </c>
      <c r="B370" s="9" t="s">
        <v>195</v>
      </c>
      <c r="C370" s="13" t="s">
        <v>545</v>
      </c>
      <c r="D370" s="13" t="s">
        <v>54</v>
      </c>
      <c r="E370" s="12">
        <v>2024</v>
      </c>
      <c r="F370" s="12" t="str">
        <f>IF(ISERROR(VLOOKUP(H370,[1]final!H:H,1,0)),"0","1")</f>
        <v>0</v>
      </c>
      <c r="G370" s="13" t="s">
        <v>19</v>
      </c>
      <c r="H370" s="13" t="s">
        <v>749</v>
      </c>
      <c r="I370" s="13" t="s">
        <v>750</v>
      </c>
    </row>
    <row r="371" s="9" customFormat="1" spans="1:9">
      <c r="A371" s="12">
        <v>370</v>
      </c>
      <c r="B371" s="9" t="s">
        <v>195</v>
      </c>
      <c r="C371" s="13" t="s">
        <v>545</v>
      </c>
      <c r="D371" s="13" t="s">
        <v>11</v>
      </c>
      <c r="E371" s="12">
        <v>2010</v>
      </c>
      <c r="F371" s="12" t="str">
        <f>IF(ISERROR(VLOOKUP(H371,[1]final!H:H,1,0)),"0","1")</f>
        <v>0</v>
      </c>
      <c r="G371" s="13" t="s">
        <v>19</v>
      </c>
      <c r="H371" s="13" t="s">
        <v>751</v>
      </c>
      <c r="I371" s="13" t="s">
        <v>752</v>
      </c>
    </row>
    <row r="372" s="9" customFormat="1" spans="1:9">
      <c r="A372" s="12">
        <v>371</v>
      </c>
      <c r="B372" s="9" t="s">
        <v>195</v>
      </c>
      <c r="C372" s="13" t="s">
        <v>545</v>
      </c>
      <c r="D372" s="13" t="s">
        <v>121</v>
      </c>
      <c r="E372" s="12">
        <v>2017</v>
      </c>
      <c r="F372" s="12" t="str">
        <f>IF(ISERROR(VLOOKUP(H372,[1]final!H:H,1,0)),"0","1")</f>
        <v>0</v>
      </c>
      <c r="G372" s="13" t="s">
        <v>19</v>
      </c>
      <c r="H372" s="13" t="s">
        <v>753</v>
      </c>
      <c r="I372" s="13" t="s">
        <v>754</v>
      </c>
    </row>
    <row r="373" s="9" customFormat="1" spans="1:9">
      <c r="A373" s="12">
        <v>372</v>
      </c>
      <c r="B373" s="9" t="s">
        <v>195</v>
      </c>
      <c r="C373" s="13" t="s">
        <v>545</v>
      </c>
      <c r="D373" s="13" t="s">
        <v>54</v>
      </c>
      <c r="E373" s="12">
        <v>2021</v>
      </c>
      <c r="F373" s="12" t="str">
        <f>IF(ISERROR(VLOOKUP(H373,[1]final!H:H,1,0)),"0","1")</f>
        <v>0</v>
      </c>
      <c r="G373" s="13" t="s">
        <v>19</v>
      </c>
      <c r="H373" s="13" t="s">
        <v>755</v>
      </c>
      <c r="I373" s="13" t="s">
        <v>756</v>
      </c>
    </row>
    <row r="374" s="9" customFormat="1" spans="1:9">
      <c r="A374" s="12">
        <v>373</v>
      </c>
      <c r="B374" s="9" t="s">
        <v>195</v>
      </c>
      <c r="C374" s="13" t="s">
        <v>545</v>
      </c>
      <c r="D374" s="13" t="s">
        <v>54</v>
      </c>
      <c r="E374" s="12">
        <v>2017</v>
      </c>
      <c r="F374" s="12" t="str">
        <f>IF(ISERROR(VLOOKUP(H374,[1]final!H:H,1,0)),"0","1")</f>
        <v>0</v>
      </c>
      <c r="G374" s="13" t="s">
        <v>19</v>
      </c>
      <c r="H374" s="13" t="s">
        <v>757</v>
      </c>
      <c r="I374" s="13" t="s">
        <v>758</v>
      </c>
    </row>
    <row r="375" s="17" customFormat="1" spans="1:9">
      <c r="A375" s="12">
        <v>374</v>
      </c>
      <c r="B375" s="17" t="s">
        <v>223</v>
      </c>
      <c r="C375" s="16" t="s">
        <v>545</v>
      </c>
      <c r="D375" s="13" t="s">
        <v>54</v>
      </c>
      <c r="E375" s="15">
        <v>2019</v>
      </c>
      <c r="F375" s="12" t="str">
        <f>IF(ISERROR(VLOOKUP(H375,[1]final!H:H,1,0)),"0","1")</f>
        <v>0</v>
      </c>
      <c r="G375" s="13" t="s">
        <v>228</v>
      </c>
      <c r="H375" s="16" t="s">
        <v>759</v>
      </c>
      <c r="I375" s="16" t="s">
        <v>760</v>
      </c>
    </row>
    <row r="376" s="17" customFormat="1" spans="1:9">
      <c r="A376" s="12">
        <v>375</v>
      </c>
      <c r="B376" s="17" t="s">
        <v>223</v>
      </c>
      <c r="C376" s="16" t="s">
        <v>545</v>
      </c>
      <c r="D376" s="13" t="s">
        <v>54</v>
      </c>
      <c r="E376" s="15">
        <v>2012</v>
      </c>
      <c r="F376" s="12" t="str">
        <f>IF(ISERROR(VLOOKUP(H376,[1]final!H:H,1,0)),"0","1")</f>
        <v>0</v>
      </c>
      <c r="G376" s="13" t="s">
        <v>228</v>
      </c>
      <c r="H376" s="16" t="s">
        <v>761</v>
      </c>
      <c r="I376" s="16" t="s">
        <v>762</v>
      </c>
    </row>
    <row r="377" s="17" customFormat="1" spans="1:9">
      <c r="A377" s="12">
        <v>376</v>
      </c>
      <c r="B377" s="17" t="s">
        <v>223</v>
      </c>
      <c r="C377" s="16" t="s">
        <v>545</v>
      </c>
      <c r="D377" s="13" t="s">
        <v>54</v>
      </c>
      <c r="E377" s="15">
        <v>2023</v>
      </c>
      <c r="F377" s="12" t="str">
        <f>IF(ISERROR(VLOOKUP(H377,[1]final!H:H,1,0)),"0","1")</f>
        <v>0</v>
      </c>
      <c r="G377" s="13" t="s">
        <v>228</v>
      </c>
      <c r="H377" s="16" t="s">
        <v>763</v>
      </c>
      <c r="I377" s="16" t="s">
        <v>764</v>
      </c>
    </row>
    <row r="378" s="17" customFormat="1" spans="1:9">
      <c r="A378" s="12">
        <v>377</v>
      </c>
      <c r="B378" s="17" t="s">
        <v>223</v>
      </c>
      <c r="C378" s="16" t="s">
        <v>545</v>
      </c>
      <c r="D378" s="13" t="s">
        <v>121</v>
      </c>
      <c r="E378" s="15">
        <v>2015</v>
      </c>
      <c r="F378" s="12" t="str">
        <f>IF(ISERROR(VLOOKUP(H378,[1]final!H:H,1,0)),"0","1")</f>
        <v>0</v>
      </c>
      <c r="G378" s="13" t="s">
        <v>228</v>
      </c>
      <c r="H378" s="16" t="s">
        <v>765</v>
      </c>
      <c r="I378" s="16" t="s">
        <v>766</v>
      </c>
    </row>
    <row r="379" s="17" customFormat="1" spans="1:9">
      <c r="A379" s="12">
        <v>378</v>
      </c>
      <c r="B379" s="17" t="s">
        <v>223</v>
      </c>
      <c r="C379" s="16" t="s">
        <v>545</v>
      </c>
      <c r="D379" s="13" t="s">
        <v>54</v>
      </c>
      <c r="E379" s="15">
        <v>2018</v>
      </c>
      <c r="F379" s="12" t="str">
        <f>IF(ISERROR(VLOOKUP(H379,[1]final!H:H,1,0)),"0","1")</f>
        <v>0</v>
      </c>
      <c r="G379" s="13" t="s">
        <v>228</v>
      </c>
      <c r="H379" s="16" t="s">
        <v>767</v>
      </c>
      <c r="I379" s="16" t="s">
        <v>768</v>
      </c>
    </row>
    <row r="380" s="17" customFormat="1" spans="1:9">
      <c r="A380" s="12">
        <v>379</v>
      </c>
      <c r="B380" s="17" t="s">
        <v>223</v>
      </c>
      <c r="C380" s="16" t="s">
        <v>545</v>
      </c>
      <c r="D380" s="13" t="s">
        <v>11</v>
      </c>
      <c r="E380" s="15">
        <v>2015</v>
      </c>
      <c r="F380" s="12" t="str">
        <f>IF(ISERROR(VLOOKUP(H380,[1]final!H:H,1,0)),"0","1")</f>
        <v>0</v>
      </c>
      <c r="G380" s="13" t="s">
        <v>228</v>
      </c>
      <c r="H380" s="16" t="s">
        <v>769</v>
      </c>
      <c r="I380" s="16" t="s">
        <v>770</v>
      </c>
    </row>
    <row r="381" s="17" customFormat="1" spans="1:9">
      <c r="A381" s="12">
        <v>380</v>
      </c>
      <c r="B381" s="17" t="s">
        <v>223</v>
      </c>
      <c r="C381" s="16" t="s">
        <v>545</v>
      </c>
      <c r="D381" s="13" t="s">
        <v>121</v>
      </c>
      <c r="E381" s="15">
        <v>2018</v>
      </c>
      <c r="F381" s="12" t="str">
        <f>IF(ISERROR(VLOOKUP(H381,[1]final!H:H,1,0)),"0","1")</f>
        <v>0</v>
      </c>
      <c r="G381" s="13" t="s">
        <v>228</v>
      </c>
      <c r="H381" s="16" t="s">
        <v>771</v>
      </c>
      <c r="I381" s="16" t="s">
        <v>772</v>
      </c>
    </row>
    <row r="382" s="17" customFormat="1" spans="1:9">
      <c r="A382" s="12">
        <v>381</v>
      </c>
      <c r="B382" s="17" t="s">
        <v>223</v>
      </c>
      <c r="C382" s="16" t="s">
        <v>545</v>
      </c>
      <c r="D382" s="13" t="s">
        <v>54</v>
      </c>
      <c r="E382" s="15">
        <v>2014</v>
      </c>
      <c r="F382" s="12" t="str">
        <f>IF(ISERROR(VLOOKUP(H382,[1]final!H:H,1,0)),"0","1")</f>
        <v>0</v>
      </c>
      <c r="G382" s="13" t="s">
        <v>228</v>
      </c>
      <c r="H382" s="16" t="s">
        <v>773</v>
      </c>
      <c r="I382" s="16" t="s">
        <v>774</v>
      </c>
    </row>
    <row r="383" s="17" customFormat="1" spans="1:9">
      <c r="A383" s="12">
        <v>382</v>
      </c>
      <c r="B383" s="17" t="s">
        <v>223</v>
      </c>
      <c r="C383" s="16" t="s">
        <v>545</v>
      </c>
      <c r="D383" s="13" t="s">
        <v>121</v>
      </c>
      <c r="E383" s="15">
        <v>2015</v>
      </c>
      <c r="F383" s="12" t="str">
        <f>IF(ISERROR(VLOOKUP(H383,[1]final!H:H,1,0)),"0","1")</f>
        <v>0</v>
      </c>
      <c r="G383" s="13" t="s">
        <v>228</v>
      </c>
      <c r="H383" s="16" t="s">
        <v>775</v>
      </c>
      <c r="I383" s="16" t="s">
        <v>776</v>
      </c>
    </row>
    <row r="384" s="17" customFormat="1" spans="1:9">
      <c r="A384" s="12">
        <v>383</v>
      </c>
      <c r="B384" s="17" t="s">
        <v>223</v>
      </c>
      <c r="C384" s="16" t="s">
        <v>545</v>
      </c>
      <c r="D384" s="13" t="s">
        <v>54</v>
      </c>
      <c r="E384" s="15">
        <v>2008</v>
      </c>
      <c r="F384" s="12" t="str">
        <f>IF(ISERROR(VLOOKUP(H384,[1]final!H:H,1,0)),"0","1")</f>
        <v>0</v>
      </c>
      <c r="G384" s="13" t="s">
        <v>32</v>
      </c>
      <c r="H384" s="16" t="s">
        <v>777</v>
      </c>
      <c r="I384" s="16" t="s">
        <v>778</v>
      </c>
    </row>
    <row r="385" s="17" customFormat="1" spans="1:9">
      <c r="A385" s="12">
        <v>384</v>
      </c>
      <c r="B385" s="17" t="s">
        <v>223</v>
      </c>
      <c r="C385" s="16" t="s">
        <v>545</v>
      </c>
      <c r="D385" s="13" t="s">
        <v>11</v>
      </c>
      <c r="E385" s="15">
        <v>2018</v>
      </c>
      <c r="F385" s="12" t="str">
        <f>IF(ISERROR(VLOOKUP(H385,[1]final!H:H,1,0)),"0","1")</f>
        <v>0</v>
      </c>
      <c r="G385" s="13" t="s">
        <v>228</v>
      </c>
      <c r="H385" s="16" t="s">
        <v>779</v>
      </c>
      <c r="I385" s="16" t="s">
        <v>780</v>
      </c>
    </row>
    <row r="386" s="17" customFormat="1" spans="1:9">
      <c r="A386" s="12">
        <v>385</v>
      </c>
      <c r="B386" s="17" t="s">
        <v>223</v>
      </c>
      <c r="C386" s="16" t="s">
        <v>545</v>
      </c>
      <c r="D386" s="13" t="s">
        <v>11</v>
      </c>
      <c r="E386" s="15">
        <v>2017</v>
      </c>
      <c r="F386" s="12" t="str">
        <f>IF(ISERROR(VLOOKUP(H386,[1]final!H:H,1,0)),"0","1")</f>
        <v>0</v>
      </c>
      <c r="G386" s="13" t="s">
        <v>228</v>
      </c>
      <c r="H386" s="16" t="s">
        <v>781</v>
      </c>
      <c r="I386" s="16" t="s">
        <v>782</v>
      </c>
    </row>
    <row r="387" s="17" customFormat="1" spans="1:9">
      <c r="A387" s="12">
        <v>386</v>
      </c>
      <c r="B387" s="17" t="s">
        <v>223</v>
      </c>
      <c r="C387" s="16" t="s">
        <v>545</v>
      </c>
      <c r="D387" s="13" t="s">
        <v>11</v>
      </c>
      <c r="E387" s="15">
        <v>2006</v>
      </c>
      <c r="F387" s="12" t="str">
        <f>IF(ISERROR(VLOOKUP(H387,[1]final!H:H,1,0)),"0","1")</f>
        <v>0</v>
      </c>
      <c r="G387" s="13" t="s">
        <v>32</v>
      </c>
      <c r="H387" s="16" t="s">
        <v>783</v>
      </c>
      <c r="I387" s="16" t="s">
        <v>784</v>
      </c>
    </row>
    <row r="388" s="17" customFormat="1" spans="1:9">
      <c r="A388" s="12">
        <v>387</v>
      </c>
      <c r="B388" s="17" t="s">
        <v>223</v>
      </c>
      <c r="C388" s="16" t="s">
        <v>545</v>
      </c>
      <c r="D388" s="13" t="s">
        <v>121</v>
      </c>
      <c r="E388" s="15">
        <v>2014</v>
      </c>
      <c r="F388" s="12" t="str">
        <f>IF(ISERROR(VLOOKUP(H388,[1]final!H:H,1,0)),"0","1")</f>
        <v>0</v>
      </c>
      <c r="G388" s="13" t="s">
        <v>228</v>
      </c>
      <c r="H388" s="16" t="s">
        <v>785</v>
      </c>
      <c r="I388" s="16" t="s">
        <v>786</v>
      </c>
    </row>
    <row r="389" s="17" customFormat="1" spans="1:9">
      <c r="A389" s="12">
        <v>388</v>
      </c>
      <c r="B389" s="17" t="s">
        <v>223</v>
      </c>
      <c r="C389" s="16" t="s">
        <v>545</v>
      </c>
      <c r="D389" s="13" t="s">
        <v>121</v>
      </c>
      <c r="E389" s="15">
        <v>2015</v>
      </c>
      <c r="F389" s="12" t="str">
        <f>IF(ISERROR(VLOOKUP(H389,[1]final!H:H,1,0)),"0","1")</f>
        <v>0</v>
      </c>
      <c r="G389" s="13" t="s">
        <v>228</v>
      </c>
      <c r="H389" s="16" t="s">
        <v>787</v>
      </c>
      <c r="I389" s="16" t="s">
        <v>788</v>
      </c>
    </row>
    <row r="390" s="17" customFormat="1" spans="1:9">
      <c r="A390" s="12">
        <v>389</v>
      </c>
      <c r="B390" s="17" t="s">
        <v>223</v>
      </c>
      <c r="C390" s="16" t="s">
        <v>545</v>
      </c>
      <c r="D390" s="13" t="s">
        <v>11</v>
      </c>
      <c r="E390" s="15">
        <v>2001</v>
      </c>
      <c r="F390" s="12" t="str">
        <f>IF(ISERROR(VLOOKUP(H390,[1]final!H:H,1,0)),"0","1")</f>
        <v>0</v>
      </c>
      <c r="G390" s="13" t="s">
        <v>32</v>
      </c>
      <c r="H390" s="16" t="s">
        <v>789</v>
      </c>
      <c r="I390" s="16" t="s">
        <v>790</v>
      </c>
    </row>
    <row r="391" s="17" customFormat="1" spans="1:9">
      <c r="A391" s="12">
        <v>390</v>
      </c>
      <c r="B391" s="17" t="s">
        <v>223</v>
      </c>
      <c r="C391" s="16" t="s">
        <v>545</v>
      </c>
      <c r="D391" s="13" t="s">
        <v>11</v>
      </c>
      <c r="E391" s="15">
        <v>2012</v>
      </c>
      <c r="F391" s="12" t="str">
        <f>IF(ISERROR(VLOOKUP(H391,[1]final!H:H,1,0)),"0","1")</f>
        <v>0</v>
      </c>
      <c r="G391" s="13" t="s">
        <v>228</v>
      </c>
      <c r="H391" s="16" t="s">
        <v>791</v>
      </c>
      <c r="I391" s="16" t="s">
        <v>792</v>
      </c>
    </row>
    <row r="392" s="17" customFormat="1" spans="1:9">
      <c r="A392" s="12">
        <v>391</v>
      </c>
      <c r="B392" s="17" t="s">
        <v>223</v>
      </c>
      <c r="C392" s="16" t="s">
        <v>545</v>
      </c>
      <c r="D392" s="13" t="s">
        <v>11</v>
      </c>
      <c r="E392" s="15">
        <v>2012</v>
      </c>
      <c r="F392" s="12" t="str">
        <f>IF(ISERROR(VLOOKUP(H392,[1]final!H:H,1,0)),"0","1")</f>
        <v>0</v>
      </c>
      <c r="G392" s="13" t="s">
        <v>228</v>
      </c>
      <c r="H392" s="16" t="s">
        <v>793</v>
      </c>
      <c r="I392" s="16" t="s">
        <v>794</v>
      </c>
    </row>
    <row r="393" s="17" customFormat="1" spans="1:9">
      <c r="A393" s="12">
        <v>392</v>
      </c>
      <c r="B393" s="17" t="s">
        <v>223</v>
      </c>
      <c r="C393" s="16" t="s">
        <v>545</v>
      </c>
      <c r="D393" s="13" t="s">
        <v>54</v>
      </c>
      <c r="E393" s="15">
        <v>2024</v>
      </c>
      <c r="F393" s="12" t="str">
        <f>IF(ISERROR(VLOOKUP(H393,[1]final!H:H,1,0)),"0","1")</f>
        <v>0</v>
      </c>
      <c r="G393" s="13" t="s">
        <v>228</v>
      </c>
      <c r="H393" s="16" t="s">
        <v>795</v>
      </c>
      <c r="I393" s="16" t="s">
        <v>796</v>
      </c>
    </row>
    <row r="394" s="9" customFormat="1" spans="1:9">
      <c r="A394" s="12">
        <v>393</v>
      </c>
      <c r="B394" s="9" t="s">
        <v>9</v>
      </c>
      <c r="C394" s="13" t="s">
        <v>797</v>
      </c>
      <c r="D394" s="13" t="s">
        <v>11</v>
      </c>
      <c r="E394" s="12">
        <v>2011</v>
      </c>
      <c r="F394" s="12" t="str">
        <f>IF(ISERROR(VLOOKUP(H394,[1]final!H:H,1,0)),"0","1")</f>
        <v>1</v>
      </c>
      <c r="G394" s="13"/>
      <c r="H394" s="13" t="s">
        <v>798</v>
      </c>
      <c r="I394" s="13" t="s">
        <v>799</v>
      </c>
    </row>
    <row r="395" s="9" customFormat="1" spans="1:9">
      <c r="A395" s="12">
        <v>394</v>
      </c>
      <c r="B395" s="9" t="s">
        <v>9</v>
      </c>
      <c r="C395" s="13" t="s">
        <v>797</v>
      </c>
      <c r="D395" s="13" t="s">
        <v>11</v>
      </c>
      <c r="E395" s="12">
        <v>2014</v>
      </c>
      <c r="F395" s="12">
        <v>0</v>
      </c>
      <c r="G395" s="13" t="s">
        <v>800</v>
      </c>
      <c r="H395" s="13" t="s">
        <v>24</v>
      </c>
      <c r="I395" s="13" t="s">
        <v>25</v>
      </c>
    </row>
    <row r="396" s="9" customFormat="1" spans="1:9">
      <c r="A396" s="12">
        <v>395</v>
      </c>
      <c r="B396" s="9" t="s">
        <v>9</v>
      </c>
      <c r="C396" s="13" t="s">
        <v>797</v>
      </c>
      <c r="D396" s="13" t="s">
        <v>11</v>
      </c>
      <c r="E396" s="12">
        <v>2010</v>
      </c>
      <c r="F396" s="12" t="str">
        <f>IF(ISERROR(VLOOKUP(H396,[1]final!H:H,1,0)),"0","1")</f>
        <v>1</v>
      </c>
      <c r="G396" s="13"/>
      <c r="H396" s="13" t="s">
        <v>801</v>
      </c>
      <c r="I396" s="13" t="s">
        <v>802</v>
      </c>
    </row>
    <row r="397" s="9" customFormat="1" spans="1:9">
      <c r="A397" s="12">
        <v>396</v>
      </c>
      <c r="B397" s="9" t="s">
        <v>9</v>
      </c>
      <c r="C397" s="13" t="s">
        <v>797</v>
      </c>
      <c r="D397" s="13" t="s">
        <v>11</v>
      </c>
      <c r="E397" s="12">
        <v>2014</v>
      </c>
      <c r="F397" s="12" t="str">
        <f>IF(ISERROR(VLOOKUP(H397,[1]final!H:H,1,0)),"0","1")</f>
        <v>1</v>
      </c>
      <c r="G397" s="13"/>
      <c r="H397" s="13" t="s">
        <v>803</v>
      </c>
      <c r="I397" s="13" t="s">
        <v>804</v>
      </c>
    </row>
    <row r="398" s="9" customFormat="1" spans="1:9">
      <c r="A398" s="12">
        <v>397</v>
      </c>
      <c r="B398" s="9" t="s">
        <v>9</v>
      </c>
      <c r="C398" s="13" t="s">
        <v>797</v>
      </c>
      <c r="D398" s="13" t="s">
        <v>11</v>
      </c>
      <c r="E398" s="12">
        <v>2008</v>
      </c>
      <c r="F398" s="12" t="str">
        <f>IF(ISERROR(VLOOKUP(H398,[1]final!H:H,1,0)),"0","1")</f>
        <v>0</v>
      </c>
      <c r="G398" s="13" t="s">
        <v>32</v>
      </c>
      <c r="H398" s="13" t="s">
        <v>805</v>
      </c>
      <c r="I398" s="13" t="s">
        <v>806</v>
      </c>
    </row>
    <row r="399" s="9" customFormat="1" spans="1:9">
      <c r="A399" s="12">
        <v>398</v>
      </c>
      <c r="B399" s="9" t="s">
        <v>9</v>
      </c>
      <c r="C399" s="13" t="s">
        <v>797</v>
      </c>
      <c r="D399" s="13" t="s">
        <v>11</v>
      </c>
      <c r="E399" s="12">
        <v>2010</v>
      </c>
      <c r="F399" s="12" t="str">
        <f>IF(ISERROR(VLOOKUP(H399,[1]final!H:H,1,0)),"0","1")</f>
        <v>0</v>
      </c>
      <c r="G399" s="13" t="s">
        <v>382</v>
      </c>
      <c r="H399" s="13" t="s">
        <v>807</v>
      </c>
      <c r="I399" s="13" t="s">
        <v>808</v>
      </c>
    </row>
    <row r="400" s="9" customFormat="1" spans="1:9">
      <c r="A400" s="12">
        <v>399</v>
      </c>
      <c r="B400" s="9" t="s">
        <v>9</v>
      </c>
      <c r="C400" s="13" t="s">
        <v>797</v>
      </c>
      <c r="D400" s="13" t="s">
        <v>11</v>
      </c>
      <c r="E400" s="12">
        <v>2021</v>
      </c>
      <c r="F400" s="12" t="str">
        <f>IF(ISERROR(VLOOKUP(H400,[1]final!H:H,1,0)),"0","1")</f>
        <v>1</v>
      </c>
      <c r="G400" s="13"/>
      <c r="H400" s="13" t="s">
        <v>809</v>
      </c>
      <c r="I400" s="13" t="s">
        <v>810</v>
      </c>
    </row>
    <row r="401" s="9" customFormat="1" spans="1:9">
      <c r="A401" s="12">
        <v>400</v>
      </c>
      <c r="B401" s="9" t="s">
        <v>9</v>
      </c>
      <c r="C401" s="13" t="s">
        <v>797</v>
      </c>
      <c r="D401" s="13" t="s">
        <v>11</v>
      </c>
      <c r="E401" s="12">
        <v>2003</v>
      </c>
      <c r="F401" s="12" t="str">
        <f>IF(ISERROR(VLOOKUP(H401,[1]final!H:H,1,0)),"0","1")</f>
        <v>0</v>
      </c>
      <c r="G401" s="13" t="s">
        <v>32</v>
      </c>
      <c r="H401" s="13" t="s">
        <v>811</v>
      </c>
      <c r="I401" s="13" t="s">
        <v>812</v>
      </c>
    </row>
    <row r="402" s="9" customFormat="1" spans="1:9">
      <c r="A402" s="12">
        <v>401</v>
      </c>
      <c r="B402" s="9" t="s">
        <v>9</v>
      </c>
      <c r="C402" s="13" t="s">
        <v>797</v>
      </c>
      <c r="D402" s="13" t="s">
        <v>54</v>
      </c>
      <c r="E402" s="12">
        <v>2019</v>
      </c>
      <c r="F402" s="12" t="str">
        <f>IF(ISERROR(VLOOKUP(H402,[1]final!H:H,1,0)),"0","1")</f>
        <v>1</v>
      </c>
      <c r="G402" s="13"/>
      <c r="H402" s="13" t="s">
        <v>813</v>
      </c>
      <c r="I402" s="13" t="s">
        <v>814</v>
      </c>
    </row>
    <row r="403" s="9" customFormat="1" spans="1:9">
      <c r="A403" s="12">
        <v>402</v>
      </c>
      <c r="B403" s="9" t="s">
        <v>9</v>
      </c>
      <c r="C403" s="13" t="s">
        <v>797</v>
      </c>
      <c r="D403" s="13" t="s">
        <v>11</v>
      </c>
      <c r="E403" s="12">
        <v>2005</v>
      </c>
      <c r="F403" s="12" t="str">
        <f>IF(ISERROR(VLOOKUP(H403,[1]final!H:H,1,0)),"0","1")</f>
        <v>0</v>
      </c>
      <c r="G403" s="13" t="s">
        <v>32</v>
      </c>
      <c r="H403" s="13" t="s">
        <v>815</v>
      </c>
      <c r="I403" s="13" t="s">
        <v>816</v>
      </c>
    </row>
    <row r="404" s="9" customFormat="1" spans="1:9">
      <c r="A404" s="12">
        <v>403</v>
      </c>
      <c r="B404" s="9" t="s">
        <v>9</v>
      </c>
      <c r="C404" s="13" t="s">
        <v>797</v>
      </c>
      <c r="D404" s="13" t="s">
        <v>11</v>
      </c>
      <c r="E404" s="12">
        <v>2008</v>
      </c>
      <c r="F404" s="12" t="str">
        <f>IF(ISERROR(VLOOKUP(H404,[1]final!H:H,1,0)),"0","1")</f>
        <v>0</v>
      </c>
      <c r="G404" s="13" t="s">
        <v>32</v>
      </c>
      <c r="H404" s="13" t="s">
        <v>817</v>
      </c>
      <c r="I404" s="13" t="s">
        <v>818</v>
      </c>
    </row>
    <row r="405" s="9" customFormat="1" spans="1:9">
      <c r="A405" s="12">
        <v>404</v>
      </c>
      <c r="B405" s="9" t="s">
        <v>9</v>
      </c>
      <c r="C405" s="13" t="s">
        <v>797</v>
      </c>
      <c r="D405" s="13" t="s">
        <v>11</v>
      </c>
      <c r="E405" s="12">
        <v>2012</v>
      </c>
      <c r="F405" s="12" t="str">
        <f>IF(ISERROR(VLOOKUP(H405,[1]final!H:H,1,0)),"0","1")</f>
        <v>0</v>
      </c>
      <c r="G405" s="13" t="s">
        <v>16</v>
      </c>
      <c r="H405" s="13" t="s">
        <v>819</v>
      </c>
      <c r="I405" s="13" t="s">
        <v>820</v>
      </c>
    </row>
    <row r="406" s="9" customFormat="1" spans="1:9">
      <c r="A406" s="12">
        <v>405</v>
      </c>
      <c r="B406" s="9" t="s">
        <v>9</v>
      </c>
      <c r="C406" s="13" t="s">
        <v>797</v>
      </c>
      <c r="D406" s="13" t="s">
        <v>54</v>
      </c>
      <c r="E406" s="12">
        <v>2015</v>
      </c>
      <c r="F406" s="12" t="str">
        <f>IF(ISERROR(VLOOKUP(H406,[1]final!H:H,1,0)),"0","1")</f>
        <v>1</v>
      </c>
      <c r="G406" s="13"/>
      <c r="H406" s="13" t="s">
        <v>821</v>
      </c>
      <c r="I406" s="13" t="s">
        <v>822</v>
      </c>
    </row>
    <row r="407" s="9" customFormat="1" spans="1:9">
      <c r="A407" s="12">
        <v>406</v>
      </c>
      <c r="B407" s="9" t="s">
        <v>9</v>
      </c>
      <c r="C407" s="13" t="s">
        <v>797</v>
      </c>
      <c r="D407" s="13" t="s">
        <v>54</v>
      </c>
      <c r="E407" s="12">
        <v>2012</v>
      </c>
      <c r="F407" s="12" t="str">
        <f>IF(ISERROR(VLOOKUP(H407,[1]final!H:H,1,0)),"0","1")</f>
        <v>1</v>
      </c>
      <c r="G407" s="13"/>
      <c r="H407" s="13" t="s">
        <v>823</v>
      </c>
      <c r="I407" s="13" t="s">
        <v>824</v>
      </c>
    </row>
    <row r="408" s="9" customFormat="1" spans="1:9">
      <c r="A408" s="12">
        <v>407</v>
      </c>
      <c r="B408" s="9" t="s">
        <v>9</v>
      </c>
      <c r="C408" s="13" t="s">
        <v>797</v>
      </c>
      <c r="D408" s="13" t="s">
        <v>11</v>
      </c>
      <c r="E408" s="12">
        <v>2017</v>
      </c>
      <c r="F408" s="12" t="str">
        <f>IF(ISERROR(VLOOKUP(H408,[1]final!H:H,1,0)),"0","1")</f>
        <v>1</v>
      </c>
      <c r="G408" s="13"/>
      <c r="H408" s="13" t="s">
        <v>825</v>
      </c>
      <c r="I408" s="13" t="s">
        <v>826</v>
      </c>
    </row>
    <row r="409" s="9" customFormat="1" spans="1:9">
      <c r="A409" s="12">
        <v>408</v>
      </c>
      <c r="B409" s="9" t="s">
        <v>9</v>
      </c>
      <c r="C409" s="13" t="s">
        <v>797</v>
      </c>
      <c r="D409" s="13" t="s">
        <v>11</v>
      </c>
      <c r="E409" s="12">
        <v>2017</v>
      </c>
      <c r="F409" s="12" t="str">
        <f>IF(ISERROR(VLOOKUP(H409,[1]final!H:H,1,0)),"0","1")</f>
        <v>1</v>
      </c>
      <c r="G409" s="13"/>
      <c r="H409" s="13" t="s">
        <v>827</v>
      </c>
      <c r="I409" s="13" t="s">
        <v>828</v>
      </c>
    </row>
    <row r="410" s="9" customFormat="1" spans="1:9">
      <c r="A410" s="12">
        <v>409</v>
      </c>
      <c r="B410" s="9" t="s">
        <v>9</v>
      </c>
      <c r="C410" s="13" t="s">
        <v>797</v>
      </c>
      <c r="D410" s="13" t="s">
        <v>11</v>
      </c>
      <c r="E410" s="12">
        <v>2007</v>
      </c>
      <c r="F410" s="12" t="str">
        <f>IF(ISERROR(VLOOKUP(H410,[1]final!H:H,1,0)),"0","1")</f>
        <v>0</v>
      </c>
      <c r="G410" s="13" t="s">
        <v>32</v>
      </c>
      <c r="H410" s="13" t="s">
        <v>829</v>
      </c>
      <c r="I410" s="13" t="s">
        <v>830</v>
      </c>
    </row>
    <row r="411" s="9" customFormat="1" spans="1:9">
      <c r="A411" s="12">
        <v>410</v>
      </c>
      <c r="B411" s="9" t="s">
        <v>9</v>
      </c>
      <c r="C411" s="13" t="s">
        <v>797</v>
      </c>
      <c r="D411" s="13" t="s">
        <v>11</v>
      </c>
      <c r="E411" s="12">
        <v>2020</v>
      </c>
      <c r="F411" s="12" t="str">
        <f>IF(ISERROR(VLOOKUP(H411,[1]final!H:H,1,0)),"0","1")</f>
        <v>0</v>
      </c>
      <c r="G411" s="13" t="s">
        <v>16</v>
      </c>
      <c r="H411" s="13" t="s">
        <v>831</v>
      </c>
      <c r="I411" s="13" t="s">
        <v>832</v>
      </c>
    </row>
    <row r="412" s="9" customFormat="1" spans="1:9">
      <c r="A412" s="12">
        <v>411</v>
      </c>
      <c r="B412" s="9" t="s">
        <v>9</v>
      </c>
      <c r="C412" s="13" t="s">
        <v>797</v>
      </c>
      <c r="D412" s="13" t="s">
        <v>11</v>
      </c>
      <c r="E412" s="12">
        <v>2017</v>
      </c>
      <c r="F412" s="12" t="str">
        <f>IF(ISERROR(VLOOKUP(H412,[1]final!H:H,1,0)),"0","1")</f>
        <v>1</v>
      </c>
      <c r="G412" s="13"/>
      <c r="H412" s="13" t="s">
        <v>833</v>
      </c>
      <c r="I412" s="13" t="s">
        <v>834</v>
      </c>
    </row>
    <row r="413" s="9" customFormat="1" spans="1:9">
      <c r="A413" s="12">
        <v>412</v>
      </c>
      <c r="B413" s="9" t="s">
        <v>9</v>
      </c>
      <c r="C413" s="13" t="s">
        <v>797</v>
      </c>
      <c r="D413" s="13" t="s">
        <v>11</v>
      </c>
      <c r="E413" s="12">
        <v>2009</v>
      </c>
      <c r="F413" s="12" t="str">
        <f>IF(ISERROR(VLOOKUP(H413,[1]final!H:H,1,0)),"0","1")</f>
        <v>0</v>
      </c>
      <c r="G413" s="13" t="s">
        <v>32</v>
      </c>
      <c r="H413" s="13" t="s">
        <v>835</v>
      </c>
      <c r="I413" s="13" t="s">
        <v>836</v>
      </c>
    </row>
    <row r="414" s="9" customFormat="1" spans="1:9">
      <c r="A414" s="12">
        <v>413</v>
      </c>
      <c r="B414" s="9" t="s">
        <v>9</v>
      </c>
      <c r="C414" s="13" t="s">
        <v>797</v>
      </c>
      <c r="D414" s="13" t="s">
        <v>11</v>
      </c>
      <c r="E414" s="12">
        <v>2011</v>
      </c>
      <c r="F414" s="12" t="str">
        <f>IF(ISERROR(VLOOKUP(H414,[1]final!H:H,1,0)),"0","1")</f>
        <v>1</v>
      </c>
      <c r="G414" s="13"/>
      <c r="H414" s="13" t="s">
        <v>837</v>
      </c>
      <c r="I414" s="13" t="s">
        <v>838</v>
      </c>
    </row>
    <row r="415" s="9" customFormat="1" spans="1:9">
      <c r="A415" s="12">
        <v>414</v>
      </c>
      <c r="B415" s="9" t="s">
        <v>9</v>
      </c>
      <c r="C415" s="13" t="s">
        <v>797</v>
      </c>
      <c r="D415" s="13" t="s">
        <v>54</v>
      </c>
      <c r="E415" s="12">
        <v>2014</v>
      </c>
      <c r="F415" s="12" t="str">
        <f>IF(ISERROR(VLOOKUP(H415,[1]final!H:H,1,0)),"0","1")</f>
        <v>1</v>
      </c>
      <c r="G415" s="13"/>
      <c r="H415" s="13" t="s">
        <v>839</v>
      </c>
      <c r="I415" s="13" t="s">
        <v>840</v>
      </c>
    </row>
    <row r="416" s="9" customFormat="1" spans="1:9">
      <c r="A416" s="12">
        <v>415</v>
      </c>
      <c r="B416" s="9" t="s">
        <v>9</v>
      </c>
      <c r="C416" s="13" t="s">
        <v>797</v>
      </c>
      <c r="D416" s="13" t="s">
        <v>11</v>
      </c>
      <c r="E416" s="12">
        <v>2013</v>
      </c>
      <c r="F416" s="12" t="str">
        <f>IF(ISERROR(VLOOKUP(H416,[1]final!H:H,1,0)),"0","1")</f>
        <v>1</v>
      </c>
      <c r="G416" s="13"/>
      <c r="H416" s="13" t="s">
        <v>841</v>
      </c>
      <c r="I416" s="13" t="s">
        <v>842</v>
      </c>
    </row>
    <row r="417" s="9" customFormat="1" spans="1:9">
      <c r="A417" s="12">
        <v>416</v>
      </c>
      <c r="B417" s="9" t="s">
        <v>9</v>
      </c>
      <c r="C417" s="13" t="s">
        <v>797</v>
      </c>
      <c r="D417" s="13" t="s">
        <v>11</v>
      </c>
      <c r="E417" s="12">
        <v>2021</v>
      </c>
      <c r="F417" s="12" t="str">
        <f>IF(ISERROR(VLOOKUP(H417,[1]final!H:H,1,0)),"0","1")</f>
        <v>1</v>
      </c>
      <c r="G417" s="13"/>
      <c r="H417" s="13" t="s">
        <v>843</v>
      </c>
      <c r="I417" s="13" t="s">
        <v>844</v>
      </c>
    </row>
    <row r="418" s="9" customFormat="1" spans="1:9">
      <c r="A418" s="12">
        <v>417</v>
      </c>
      <c r="B418" s="9" t="s">
        <v>9</v>
      </c>
      <c r="C418" s="13" t="s">
        <v>797</v>
      </c>
      <c r="D418" s="13" t="s">
        <v>121</v>
      </c>
      <c r="E418" s="12">
        <v>2023</v>
      </c>
      <c r="F418" s="12" t="str">
        <f>IF(ISERROR(VLOOKUP(H418,[1]final!H:H,1,0)),"0","1")</f>
        <v>0</v>
      </c>
      <c r="G418" s="13" t="s">
        <v>16</v>
      </c>
      <c r="H418" s="13" t="s">
        <v>845</v>
      </c>
      <c r="I418" s="13" t="s">
        <v>846</v>
      </c>
    </row>
    <row r="419" s="9" customFormat="1" spans="1:9">
      <c r="A419" s="12">
        <v>418</v>
      </c>
      <c r="B419" s="9" t="s">
        <v>9</v>
      </c>
      <c r="C419" s="13" t="s">
        <v>797</v>
      </c>
      <c r="D419" s="13" t="s">
        <v>54</v>
      </c>
      <c r="E419" s="12"/>
      <c r="F419" s="12" t="str">
        <f>IF(ISERROR(VLOOKUP(H419,[1]final!H:H,1,0)),"0","1")</f>
        <v>0</v>
      </c>
      <c r="G419" s="13" t="s">
        <v>32</v>
      </c>
      <c r="H419" s="13" t="s">
        <v>847</v>
      </c>
      <c r="I419" s="13" t="s">
        <v>848</v>
      </c>
    </row>
    <row r="420" s="9" customFormat="1" spans="1:9">
      <c r="A420" s="12">
        <v>419</v>
      </c>
      <c r="B420" s="9" t="s">
        <v>9</v>
      </c>
      <c r="C420" s="13" t="s">
        <v>797</v>
      </c>
      <c r="D420" s="13" t="s">
        <v>11</v>
      </c>
      <c r="E420" s="12">
        <v>2021</v>
      </c>
      <c r="F420" s="12" t="str">
        <f>IF(ISERROR(VLOOKUP(H420,[1]final!H:H,1,0)),"0","1")</f>
        <v>0</v>
      </c>
      <c r="G420" s="13" t="s">
        <v>86</v>
      </c>
      <c r="H420" s="13" t="s">
        <v>849</v>
      </c>
      <c r="I420" s="13" t="s">
        <v>850</v>
      </c>
    </row>
    <row r="421" s="9" customFormat="1" spans="1:9">
      <c r="A421" s="12">
        <v>420</v>
      </c>
      <c r="B421" s="9" t="s">
        <v>9</v>
      </c>
      <c r="C421" s="13" t="s">
        <v>797</v>
      </c>
      <c r="D421" s="13" t="s">
        <v>54</v>
      </c>
      <c r="E421" s="12">
        <v>2018</v>
      </c>
      <c r="F421" s="12" t="str">
        <f>IF(ISERROR(VLOOKUP(H421,[1]final!H:H,1,0)),"0","1")</f>
        <v>1</v>
      </c>
      <c r="G421" s="13"/>
      <c r="H421" s="13" t="s">
        <v>851</v>
      </c>
      <c r="I421" s="13" t="s">
        <v>852</v>
      </c>
    </row>
    <row r="422" s="9" customFormat="1" spans="1:9">
      <c r="A422" s="12">
        <v>421</v>
      </c>
      <c r="B422" s="9" t="s">
        <v>9</v>
      </c>
      <c r="C422" s="13" t="s">
        <v>797</v>
      </c>
      <c r="D422" s="13" t="s">
        <v>11</v>
      </c>
      <c r="E422" s="12">
        <v>2015</v>
      </c>
      <c r="F422" s="12" t="str">
        <f>IF(ISERROR(VLOOKUP(H422,[1]final!H:H,1,0)),"0","1")</f>
        <v>0</v>
      </c>
      <c r="G422" s="13" t="s">
        <v>16</v>
      </c>
      <c r="H422" s="13" t="s">
        <v>853</v>
      </c>
      <c r="I422" s="13" t="s">
        <v>854</v>
      </c>
    </row>
    <row r="423" s="9" customFormat="1" spans="1:9">
      <c r="A423" s="12">
        <v>422</v>
      </c>
      <c r="B423" s="9" t="s">
        <v>9</v>
      </c>
      <c r="C423" s="13" t="s">
        <v>797</v>
      </c>
      <c r="D423" s="13" t="s">
        <v>11</v>
      </c>
      <c r="E423" s="12">
        <v>2021</v>
      </c>
      <c r="F423" s="12" t="str">
        <f>IF(ISERROR(VLOOKUP(H423,[1]final!H:H,1,0)),"0","1")</f>
        <v>1</v>
      </c>
      <c r="G423" s="13"/>
      <c r="H423" s="13" t="s">
        <v>855</v>
      </c>
      <c r="I423" s="13" t="s">
        <v>856</v>
      </c>
    </row>
    <row r="424" s="9" customFormat="1" spans="1:9">
      <c r="A424" s="12">
        <v>423</v>
      </c>
      <c r="B424" s="9" t="s">
        <v>9</v>
      </c>
      <c r="C424" s="13" t="s">
        <v>797</v>
      </c>
      <c r="D424" s="13" t="s">
        <v>11</v>
      </c>
      <c r="E424" s="12">
        <v>2002</v>
      </c>
      <c r="F424" s="12" t="str">
        <f>IF(ISERROR(VLOOKUP(H424,[1]final!H:H,1,0)),"0","1")</f>
        <v>0</v>
      </c>
      <c r="G424" s="13" t="s">
        <v>32</v>
      </c>
      <c r="H424" s="13" t="s">
        <v>857</v>
      </c>
      <c r="I424" s="13" t="s">
        <v>858</v>
      </c>
    </row>
    <row r="425" s="9" customFormat="1" spans="1:9">
      <c r="A425" s="12">
        <v>424</v>
      </c>
      <c r="B425" s="9" t="s">
        <v>9</v>
      </c>
      <c r="C425" s="13" t="s">
        <v>797</v>
      </c>
      <c r="D425" s="13" t="s">
        <v>11</v>
      </c>
      <c r="E425" s="12">
        <v>2014</v>
      </c>
      <c r="F425" s="12" t="str">
        <f>IF(ISERROR(VLOOKUP(H425,[1]final!H:H,1,0)),"0","1")</f>
        <v>0</v>
      </c>
      <c r="G425" s="13" t="s">
        <v>382</v>
      </c>
      <c r="H425" s="13" t="s">
        <v>859</v>
      </c>
      <c r="I425" s="13" t="s">
        <v>860</v>
      </c>
    </row>
    <row r="426" s="9" customFormat="1" spans="1:9">
      <c r="A426" s="12">
        <v>425</v>
      </c>
      <c r="B426" s="9" t="s">
        <v>9</v>
      </c>
      <c r="C426" s="13" t="s">
        <v>797</v>
      </c>
      <c r="D426" s="13" t="s">
        <v>11</v>
      </c>
      <c r="E426" s="12">
        <v>2016</v>
      </c>
      <c r="F426" s="12" t="str">
        <f>IF(ISERROR(VLOOKUP(H426,[1]final!H:H,1,0)),"0","1")</f>
        <v>0</v>
      </c>
      <c r="G426" s="13" t="s">
        <v>16</v>
      </c>
      <c r="H426" s="13" t="s">
        <v>861</v>
      </c>
      <c r="I426" s="13" t="s">
        <v>862</v>
      </c>
    </row>
    <row r="427" s="9" customFormat="1" spans="1:9">
      <c r="A427" s="12">
        <v>426</v>
      </c>
      <c r="B427" s="9" t="s">
        <v>9</v>
      </c>
      <c r="C427" s="13" t="s">
        <v>797</v>
      </c>
      <c r="D427" s="13" t="s">
        <v>11</v>
      </c>
      <c r="E427" s="12">
        <v>2008</v>
      </c>
      <c r="F427" s="12" t="str">
        <f>IF(ISERROR(VLOOKUP(H427,[1]final!H:H,1,0)),"0","1")</f>
        <v>0</v>
      </c>
      <c r="G427" s="13" t="s">
        <v>32</v>
      </c>
      <c r="H427" s="13" t="s">
        <v>863</v>
      </c>
      <c r="I427" s="13" t="s">
        <v>864</v>
      </c>
    </row>
    <row r="428" s="9" customFormat="1" spans="1:9">
      <c r="A428" s="12">
        <v>427</v>
      </c>
      <c r="B428" s="9" t="s">
        <v>9</v>
      </c>
      <c r="C428" s="13" t="s">
        <v>797</v>
      </c>
      <c r="D428" s="13" t="s">
        <v>11</v>
      </c>
      <c r="E428" s="12">
        <v>2008</v>
      </c>
      <c r="F428" s="12" t="str">
        <f>IF(ISERROR(VLOOKUP(H428,[1]final!H:H,1,0)),"0","1")</f>
        <v>0</v>
      </c>
      <c r="G428" s="13" t="s">
        <v>32</v>
      </c>
      <c r="H428" s="13" t="s">
        <v>865</v>
      </c>
      <c r="I428" s="13" t="s">
        <v>866</v>
      </c>
    </row>
    <row r="429" s="9" customFormat="1" spans="1:9">
      <c r="A429" s="12">
        <v>428</v>
      </c>
      <c r="B429" s="9" t="s">
        <v>9</v>
      </c>
      <c r="C429" s="13" t="s">
        <v>797</v>
      </c>
      <c r="D429" s="13" t="s">
        <v>11</v>
      </c>
      <c r="E429" s="12">
        <v>2018</v>
      </c>
      <c r="F429" s="12" t="str">
        <f>IF(ISERROR(VLOOKUP(H429,[1]final!H:H,1,0)),"0","1")</f>
        <v>0</v>
      </c>
      <c r="G429" s="13" t="s">
        <v>16</v>
      </c>
      <c r="H429" s="13" t="s">
        <v>867</v>
      </c>
      <c r="I429" s="13" t="s">
        <v>868</v>
      </c>
    </row>
    <row r="430" s="9" customFormat="1" spans="1:9">
      <c r="A430" s="12">
        <v>429</v>
      </c>
      <c r="B430" s="9" t="s">
        <v>9</v>
      </c>
      <c r="C430" s="13" t="s">
        <v>797</v>
      </c>
      <c r="D430" s="13" t="s">
        <v>11</v>
      </c>
      <c r="E430" s="12">
        <v>2016</v>
      </c>
      <c r="F430" s="12" t="str">
        <f>IF(ISERROR(VLOOKUP(H430,[1]final!H:H,1,0)),"0","1")</f>
        <v>0</v>
      </c>
      <c r="G430" s="13" t="s">
        <v>16</v>
      </c>
      <c r="H430" s="13" t="s">
        <v>869</v>
      </c>
      <c r="I430" s="13" t="s">
        <v>870</v>
      </c>
    </row>
    <row r="431" s="9" customFormat="1" spans="1:9">
      <c r="A431" s="12">
        <v>430</v>
      </c>
      <c r="B431" s="9" t="s">
        <v>9</v>
      </c>
      <c r="C431" s="13" t="s">
        <v>797</v>
      </c>
      <c r="D431" s="13" t="s">
        <v>11</v>
      </c>
      <c r="E431" s="12">
        <v>2020</v>
      </c>
      <c r="F431" s="12" t="str">
        <f>IF(ISERROR(VLOOKUP(H431,[1]final!H:H,1,0)),"0","1")</f>
        <v>0</v>
      </c>
      <c r="G431" s="13" t="s">
        <v>16</v>
      </c>
      <c r="H431" s="13" t="s">
        <v>871</v>
      </c>
      <c r="I431" s="13" t="s">
        <v>872</v>
      </c>
    </row>
    <row r="432" s="9" customFormat="1" spans="1:9">
      <c r="A432" s="12">
        <v>431</v>
      </c>
      <c r="B432" s="9" t="s">
        <v>9</v>
      </c>
      <c r="C432" s="13" t="s">
        <v>797</v>
      </c>
      <c r="D432" s="13" t="s">
        <v>11</v>
      </c>
      <c r="E432" s="12">
        <v>2002</v>
      </c>
      <c r="F432" s="12" t="str">
        <f>IF(ISERROR(VLOOKUP(H432,[1]final!H:H,1,0)),"0","1")</f>
        <v>0</v>
      </c>
      <c r="G432" s="13" t="s">
        <v>32</v>
      </c>
      <c r="H432" s="13" t="s">
        <v>873</v>
      </c>
      <c r="I432" s="13" t="s">
        <v>874</v>
      </c>
    </row>
    <row r="433" s="9" customFormat="1" spans="1:9">
      <c r="A433" s="12">
        <v>432</v>
      </c>
      <c r="B433" s="9" t="s">
        <v>9</v>
      </c>
      <c r="C433" s="13" t="s">
        <v>797</v>
      </c>
      <c r="D433" s="13" t="s">
        <v>54</v>
      </c>
      <c r="E433" s="12">
        <v>2017</v>
      </c>
      <c r="F433" s="12" t="str">
        <f>IF(ISERROR(VLOOKUP(H433,[1]final!H:H,1,0)),"0","1")</f>
        <v>1</v>
      </c>
      <c r="G433" s="13"/>
      <c r="H433" s="13" t="s">
        <v>875</v>
      </c>
      <c r="I433" s="13" t="s">
        <v>876</v>
      </c>
    </row>
    <row r="434" s="9" customFormat="1" spans="1:9">
      <c r="A434" s="12">
        <v>433</v>
      </c>
      <c r="B434" s="9" t="s">
        <v>195</v>
      </c>
      <c r="C434" s="13" t="s">
        <v>797</v>
      </c>
      <c r="D434" s="13" t="s">
        <v>54</v>
      </c>
      <c r="E434" s="12">
        <v>2018</v>
      </c>
      <c r="F434" s="12" t="str">
        <f>IF(ISERROR(VLOOKUP(H434,[1]final!H:H,1,0)),"0","1")</f>
        <v>0</v>
      </c>
      <c r="G434" s="13" t="s">
        <v>19</v>
      </c>
      <c r="H434" s="13" t="s">
        <v>877</v>
      </c>
      <c r="I434" s="13" t="s">
        <v>878</v>
      </c>
    </row>
    <row r="435" s="9" customFormat="1" spans="1:9">
      <c r="A435" s="12">
        <v>434</v>
      </c>
      <c r="B435" s="9" t="s">
        <v>195</v>
      </c>
      <c r="C435" s="13" t="s">
        <v>797</v>
      </c>
      <c r="D435" s="13" t="s">
        <v>54</v>
      </c>
      <c r="E435" s="12">
        <v>2012</v>
      </c>
      <c r="F435" s="12" t="str">
        <f>IF(ISERROR(VLOOKUP(H435,[1]final!H:H,1,0)),"0","1")</f>
        <v>0</v>
      </c>
      <c r="G435" s="13" t="s">
        <v>19</v>
      </c>
      <c r="H435" s="13" t="s">
        <v>879</v>
      </c>
      <c r="I435" s="13" t="s">
        <v>880</v>
      </c>
    </row>
    <row r="436" s="9" customFormat="1" spans="1:9">
      <c r="A436" s="12">
        <v>435</v>
      </c>
      <c r="B436" s="9" t="s">
        <v>195</v>
      </c>
      <c r="C436" s="13" t="s">
        <v>797</v>
      </c>
      <c r="D436" s="13" t="s">
        <v>11</v>
      </c>
      <c r="E436" s="12">
        <v>2019</v>
      </c>
      <c r="F436" s="12" t="str">
        <f>IF(ISERROR(VLOOKUP(H436,[1]final!H:H,1,0)),"0","1")</f>
        <v>0</v>
      </c>
      <c r="G436" s="13" t="s">
        <v>19</v>
      </c>
      <c r="H436" s="13" t="s">
        <v>881</v>
      </c>
      <c r="I436" s="13" t="s">
        <v>882</v>
      </c>
    </row>
    <row r="437" s="9" customFormat="1" spans="1:9">
      <c r="A437" s="12">
        <v>436</v>
      </c>
      <c r="B437" s="9" t="s">
        <v>195</v>
      </c>
      <c r="C437" s="13" t="s">
        <v>797</v>
      </c>
      <c r="D437" s="13" t="s">
        <v>883</v>
      </c>
      <c r="E437" s="12">
        <v>2019</v>
      </c>
      <c r="F437" s="12" t="str">
        <f>IF(ISERROR(VLOOKUP(H437,[1]final!H:H,1,0)),"0","1")</f>
        <v>0</v>
      </c>
      <c r="G437" s="13" t="s">
        <v>19</v>
      </c>
      <c r="H437" s="13" t="s">
        <v>884</v>
      </c>
      <c r="I437" s="13" t="s">
        <v>885</v>
      </c>
    </row>
    <row r="438" s="9" customFormat="1" spans="1:9">
      <c r="A438" s="12">
        <v>437</v>
      </c>
      <c r="B438" s="9" t="s">
        <v>195</v>
      </c>
      <c r="C438" s="13" t="s">
        <v>797</v>
      </c>
      <c r="D438" s="13" t="s">
        <v>54</v>
      </c>
      <c r="E438" s="12">
        <v>2024</v>
      </c>
      <c r="F438" s="12" t="str">
        <f>IF(ISERROR(VLOOKUP(H438,[1]final!H:H,1,0)),"0","1")</f>
        <v>0</v>
      </c>
      <c r="G438" s="13" t="s">
        <v>19</v>
      </c>
      <c r="H438" s="13" t="s">
        <v>886</v>
      </c>
      <c r="I438" s="13" t="s">
        <v>887</v>
      </c>
    </row>
  </sheetData>
  <conditionalFormatting sqref="H$1:H$1048576">
    <cfRule type="expression" dxfId="0" priority="1">
      <formula>COUNTIF([2]final!#REF!,#REF!)&gt;0</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48576"/>
  <sheetViews>
    <sheetView topLeftCell="A166" workbookViewId="0">
      <selection activeCell="G123" sqref="G123"/>
    </sheetView>
  </sheetViews>
  <sheetFormatPr defaultColWidth="8.72727272727273" defaultRowHeight="14" outlineLevelCol="7"/>
  <cols>
    <col min="1" max="1" width="8.72727272727273" style="12"/>
    <col min="2" max="2" width="8.72727272727273" style="9"/>
    <col min="3" max="4" width="8.72727272727273" style="13"/>
    <col min="5" max="6" width="8.72727272727273" style="12"/>
    <col min="7" max="8" width="8.72727272727273" style="13"/>
    <col min="9" max="16384" width="8.72727272727273" style="9"/>
  </cols>
  <sheetData>
    <row r="1" spans="1:8">
      <c r="A1" s="12" t="s">
        <v>0</v>
      </c>
      <c r="B1" s="9" t="s">
        <v>1</v>
      </c>
      <c r="C1" s="13" t="s">
        <v>2</v>
      </c>
      <c r="D1" s="13" t="s">
        <v>3</v>
      </c>
      <c r="E1" s="12" t="s">
        <v>4</v>
      </c>
      <c r="F1" s="12" t="s">
        <v>5</v>
      </c>
      <c r="G1" s="13" t="s">
        <v>7</v>
      </c>
      <c r="H1" s="13" t="s">
        <v>8</v>
      </c>
    </row>
    <row r="2" s="9" customFormat="1" spans="1:8">
      <c r="A2" s="12">
        <v>1</v>
      </c>
      <c r="B2" s="9" t="s">
        <v>9</v>
      </c>
      <c r="C2" s="13" t="s">
        <v>10</v>
      </c>
      <c r="D2" s="13" t="s">
        <v>11</v>
      </c>
      <c r="E2" s="12">
        <v>2016</v>
      </c>
      <c r="F2" s="12" t="s">
        <v>888</v>
      </c>
      <c r="G2" s="13" t="s">
        <v>12</v>
      </c>
      <c r="H2" s="13" t="s">
        <v>13</v>
      </c>
    </row>
    <row r="3" s="9" customFormat="1" spans="1:8">
      <c r="A3" s="12">
        <v>2</v>
      </c>
      <c r="B3" s="9" t="s">
        <v>9</v>
      </c>
      <c r="C3" s="13" t="s">
        <v>10</v>
      </c>
      <c r="D3" s="13" t="s">
        <v>11</v>
      </c>
      <c r="E3" s="12">
        <v>2010</v>
      </c>
      <c r="F3" s="12" t="s">
        <v>888</v>
      </c>
      <c r="G3" s="13" t="s">
        <v>14</v>
      </c>
      <c r="H3" s="13" t="s">
        <v>15</v>
      </c>
    </row>
    <row r="4" s="9" customFormat="1" spans="1:8">
      <c r="A4" s="12">
        <v>3</v>
      </c>
      <c r="B4" s="9" t="s">
        <v>9</v>
      </c>
      <c r="C4" s="13" t="s">
        <v>10</v>
      </c>
      <c r="D4" s="13" t="s">
        <v>11</v>
      </c>
      <c r="E4" s="12">
        <v>2015</v>
      </c>
      <c r="F4" s="12" t="s">
        <v>889</v>
      </c>
      <c r="G4" s="13" t="s">
        <v>17</v>
      </c>
      <c r="H4" s="13" t="s">
        <v>18</v>
      </c>
    </row>
    <row r="5" s="9" customFormat="1" spans="1:8">
      <c r="A5" s="12">
        <v>5</v>
      </c>
      <c r="B5" s="9" t="s">
        <v>9</v>
      </c>
      <c r="C5" s="13" t="s">
        <v>10</v>
      </c>
      <c r="D5" s="13" t="s">
        <v>11</v>
      </c>
      <c r="E5" s="12">
        <v>2014</v>
      </c>
      <c r="F5" s="12" t="s">
        <v>888</v>
      </c>
      <c r="G5" s="13" t="s">
        <v>22</v>
      </c>
      <c r="H5" s="13" t="s">
        <v>23</v>
      </c>
    </row>
    <row r="6" s="9" customFormat="1" spans="1:8">
      <c r="A6" s="12">
        <v>6</v>
      </c>
      <c r="B6" s="9" t="s">
        <v>9</v>
      </c>
      <c r="C6" s="13" t="s">
        <v>10</v>
      </c>
      <c r="D6" s="13" t="s">
        <v>11</v>
      </c>
      <c r="E6" s="12">
        <v>2014</v>
      </c>
      <c r="F6" s="12" t="s">
        <v>888</v>
      </c>
      <c r="G6" s="13" t="s">
        <v>24</v>
      </c>
      <c r="H6" s="13" t="s">
        <v>25</v>
      </c>
    </row>
    <row r="7" s="9" customFormat="1" spans="1:8">
      <c r="A7" s="12">
        <v>7</v>
      </c>
      <c r="B7" s="9" t="s">
        <v>9</v>
      </c>
      <c r="C7" s="13" t="s">
        <v>10</v>
      </c>
      <c r="D7" s="13" t="s">
        <v>11</v>
      </c>
      <c r="E7" s="12">
        <v>2018</v>
      </c>
      <c r="F7" s="12" t="s">
        <v>888</v>
      </c>
      <c r="G7" s="13" t="s">
        <v>26</v>
      </c>
      <c r="H7" s="13" t="s">
        <v>27</v>
      </c>
    </row>
    <row r="8" s="9" customFormat="1" spans="1:8">
      <c r="A8" s="12">
        <v>13</v>
      </c>
      <c r="B8" s="9" t="s">
        <v>9</v>
      </c>
      <c r="C8" s="13" t="s">
        <v>10</v>
      </c>
      <c r="D8" s="13" t="s">
        <v>11</v>
      </c>
      <c r="E8" s="12">
        <v>2020</v>
      </c>
      <c r="F8" s="12" t="s">
        <v>889</v>
      </c>
      <c r="G8" s="13" t="s">
        <v>39</v>
      </c>
      <c r="H8" s="13" t="s">
        <v>40</v>
      </c>
    </row>
    <row r="9" s="9" customFormat="1" spans="1:8">
      <c r="A9" s="12">
        <v>17</v>
      </c>
      <c r="B9" s="9" t="s">
        <v>9</v>
      </c>
      <c r="C9" s="13" t="s">
        <v>10</v>
      </c>
      <c r="D9" s="13" t="s">
        <v>11</v>
      </c>
      <c r="E9" s="12">
        <v>2014</v>
      </c>
      <c r="F9" s="12" t="s">
        <v>889</v>
      </c>
      <c r="G9" s="13" t="s">
        <v>47</v>
      </c>
      <c r="H9" s="13" t="s">
        <v>48</v>
      </c>
    </row>
    <row r="10" s="9" customFormat="1" spans="1:8">
      <c r="A10" s="12">
        <v>19</v>
      </c>
      <c r="B10" s="9" t="s">
        <v>9</v>
      </c>
      <c r="C10" s="13" t="s">
        <v>10</v>
      </c>
      <c r="D10" s="13" t="s">
        <v>11</v>
      </c>
      <c r="E10" s="12">
        <v>2020</v>
      </c>
      <c r="F10" s="12" t="s">
        <v>889</v>
      </c>
      <c r="G10" s="13" t="s">
        <v>52</v>
      </c>
      <c r="H10" s="13" t="s">
        <v>53</v>
      </c>
    </row>
    <row r="11" s="9" customFormat="1" spans="1:8">
      <c r="A11" s="12">
        <v>20</v>
      </c>
      <c r="B11" s="9" t="s">
        <v>9</v>
      </c>
      <c r="C11" s="13" t="s">
        <v>10</v>
      </c>
      <c r="D11" s="13" t="s">
        <v>54</v>
      </c>
      <c r="E11" s="12">
        <v>2016</v>
      </c>
      <c r="F11" s="12" t="s">
        <v>889</v>
      </c>
      <c r="G11" s="13" t="s">
        <v>56</v>
      </c>
      <c r="H11" s="13" t="s">
        <v>57</v>
      </c>
    </row>
    <row r="12" s="9" customFormat="1" spans="1:8">
      <c r="A12" s="12">
        <v>25</v>
      </c>
      <c r="B12" s="9" t="s">
        <v>9</v>
      </c>
      <c r="C12" s="13" t="s">
        <v>10</v>
      </c>
      <c r="D12" s="13" t="s">
        <v>11</v>
      </c>
      <c r="E12" s="12">
        <v>2010</v>
      </c>
      <c r="F12" s="12" t="s">
        <v>888</v>
      </c>
      <c r="G12" s="13" t="s">
        <v>66</v>
      </c>
      <c r="H12" s="13" t="s">
        <v>67</v>
      </c>
    </row>
    <row r="13" s="9" customFormat="1" spans="1:8">
      <c r="A13" s="12">
        <v>26</v>
      </c>
      <c r="B13" s="9" t="s">
        <v>9</v>
      </c>
      <c r="C13" s="13" t="s">
        <v>10</v>
      </c>
      <c r="D13" s="13" t="s">
        <v>11</v>
      </c>
      <c r="E13" s="12">
        <v>2019</v>
      </c>
      <c r="F13" s="12" t="s">
        <v>888</v>
      </c>
      <c r="G13" s="13" t="s">
        <v>68</v>
      </c>
      <c r="H13" s="13" t="s">
        <v>69</v>
      </c>
    </row>
    <row r="14" s="9" customFormat="1" spans="1:8">
      <c r="A14" s="12">
        <v>28</v>
      </c>
      <c r="B14" s="9" t="s">
        <v>9</v>
      </c>
      <c r="C14" s="13" t="s">
        <v>10</v>
      </c>
      <c r="D14" s="13" t="s">
        <v>11</v>
      </c>
      <c r="E14" s="12">
        <v>2019</v>
      </c>
      <c r="F14" s="12" t="s">
        <v>888</v>
      </c>
      <c r="G14" s="13" t="s">
        <v>72</v>
      </c>
      <c r="H14" s="13" t="s">
        <v>73</v>
      </c>
    </row>
    <row r="15" s="9" customFormat="1" spans="1:8">
      <c r="A15" s="12">
        <v>29</v>
      </c>
      <c r="B15" s="9" t="s">
        <v>9</v>
      </c>
      <c r="C15" s="13" t="s">
        <v>10</v>
      </c>
      <c r="D15" s="13" t="s">
        <v>11</v>
      </c>
      <c r="E15" s="12">
        <v>2016</v>
      </c>
      <c r="F15" s="12" t="s">
        <v>888</v>
      </c>
      <c r="G15" s="13" t="s">
        <v>74</v>
      </c>
      <c r="H15" s="13" t="s">
        <v>75</v>
      </c>
    </row>
    <row r="16" s="9" customFormat="1" spans="1:8">
      <c r="A16" s="12">
        <v>30</v>
      </c>
      <c r="B16" s="9" t="s">
        <v>9</v>
      </c>
      <c r="C16" s="13" t="s">
        <v>10</v>
      </c>
      <c r="D16" s="13" t="s">
        <v>11</v>
      </c>
      <c r="E16" s="12">
        <v>2012</v>
      </c>
      <c r="F16" s="12" t="s">
        <v>888</v>
      </c>
      <c r="G16" s="13" t="s">
        <v>76</v>
      </c>
      <c r="H16" s="13" t="s">
        <v>77</v>
      </c>
    </row>
    <row r="17" s="9" customFormat="1" spans="1:8">
      <c r="A17" s="12">
        <v>31</v>
      </c>
      <c r="B17" s="9" t="s">
        <v>9</v>
      </c>
      <c r="C17" s="13" t="s">
        <v>10</v>
      </c>
      <c r="D17" s="13" t="s">
        <v>11</v>
      </c>
      <c r="E17" s="12">
        <v>2014</v>
      </c>
      <c r="F17" s="12" t="s">
        <v>888</v>
      </c>
      <c r="G17" s="13" t="s">
        <v>78</v>
      </c>
      <c r="H17" s="13" t="s">
        <v>79</v>
      </c>
    </row>
    <row r="18" s="9" customFormat="1" spans="1:8">
      <c r="A18" s="12">
        <v>32</v>
      </c>
      <c r="B18" s="9" t="s">
        <v>9</v>
      </c>
      <c r="C18" s="13" t="s">
        <v>10</v>
      </c>
      <c r="D18" s="13" t="s">
        <v>11</v>
      </c>
      <c r="E18" s="12">
        <v>2010</v>
      </c>
      <c r="F18" s="12" t="s">
        <v>888</v>
      </c>
      <c r="G18" s="13" t="s">
        <v>80</v>
      </c>
      <c r="H18" s="13" t="s">
        <v>81</v>
      </c>
    </row>
    <row r="19" s="9" customFormat="1" spans="1:8">
      <c r="A19" s="12">
        <v>33</v>
      </c>
      <c r="B19" s="9" t="s">
        <v>9</v>
      </c>
      <c r="C19" s="13" t="s">
        <v>10</v>
      </c>
      <c r="D19" s="13" t="s">
        <v>54</v>
      </c>
      <c r="E19" s="12">
        <v>2015</v>
      </c>
      <c r="F19" s="12" t="s">
        <v>889</v>
      </c>
      <c r="G19" s="13" t="s">
        <v>82</v>
      </c>
      <c r="H19" s="13" t="s">
        <v>83</v>
      </c>
    </row>
    <row r="20" s="9" customFormat="1" spans="1:8">
      <c r="A20" s="12">
        <v>34</v>
      </c>
      <c r="B20" s="9" t="s">
        <v>9</v>
      </c>
      <c r="C20" s="13" t="s">
        <v>10</v>
      </c>
      <c r="D20" s="13" t="s">
        <v>11</v>
      </c>
      <c r="E20" s="12">
        <v>2012</v>
      </c>
      <c r="F20" s="12" t="s">
        <v>888</v>
      </c>
      <c r="G20" s="13" t="s">
        <v>84</v>
      </c>
      <c r="H20" s="13" t="s">
        <v>85</v>
      </c>
    </row>
    <row r="21" s="9" customFormat="1" spans="1:8">
      <c r="A21" s="12">
        <v>37</v>
      </c>
      <c r="B21" s="9" t="s">
        <v>9</v>
      </c>
      <c r="C21" s="13" t="s">
        <v>10</v>
      </c>
      <c r="D21" s="13" t="s">
        <v>11</v>
      </c>
      <c r="E21" s="12">
        <v>2010</v>
      </c>
      <c r="F21" s="12" t="s">
        <v>888</v>
      </c>
      <c r="G21" s="13" t="s">
        <v>91</v>
      </c>
      <c r="H21" s="13" t="s">
        <v>92</v>
      </c>
    </row>
    <row r="22" s="9" customFormat="1" spans="1:8">
      <c r="A22" s="12">
        <v>38</v>
      </c>
      <c r="B22" s="9" t="s">
        <v>9</v>
      </c>
      <c r="C22" s="13" t="s">
        <v>10</v>
      </c>
      <c r="D22" s="13" t="s">
        <v>11</v>
      </c>
      <c r="E22" s="12">
        <v>2024</v>
      </c>
      <c r="F22" s="12" t="s">
        <v>888</v>
      </c>
      <c r="G22" s="13" t="s">
        <v>93</v>
      </c>
      <c r="H22" s="13" t="s">
        <v>94</v>
      </c>
    </row>
    <row r="23" s="9" customFormat="1" spans="1:8">
      <c r="A23" s="12">
        <v>39</v>
      </c>
      <c r="B23" s="9" t="s">
        <v>9</v>
      </c>
      <c r="C23" s="13" t="s">
        <v>10</v>
      </c>
      <c r="D23" s="13" t="s">
        <v>11</v>
      </c>
      <c r="E23" s="12">
        <v>2019</v>
      </c>
      <c r="F23" s="12" t="s">
        <v>889</v>
      </c>
      <c r="G23" s="13" t="s">
        <v>95</v>
      </c>
      <c r="H23" s="13" t="s">
        <v>96</v>
      </c>
    </row>
    <row r="24" s="9" customFormat="1" spans="1:8">
      <c r="A24" s="12">
        <v>42</v>
      </c>
      <c r="B24" s="9" t="s">
        <v>9</v>
      </c>
      <c r="C24" s="13" t="s">
        <v>10</v>
      </c>
      <c r="D24" s="13" t="s">
        <v>11</v>
      </c>
      <c r="E24" s="12">
        <v>2013</v>
      </c>
      <c r="F24" s="12" t="s">
        <v>889</v>
      </c>
      <c r="G24" s="13" t="s">
        <v>101</v>
      </c>
      <c r="H24" s="13" t="s">
        <v>102</v>
      </c>
    </row>
    <row r="25" s="9" customFormat="1" spans="1:8">
      <c r="A25" s="12">
        <v>44</v>
      </c>
      <c r="B25" s="9" t="s">
        <v>9</v>
      </c>
      <c r="C25" s="13" t="s">
        <v>10</v>
      </c>
      <c r="D25" s="13" t="s">
        <v>11</v>
      </c>
      <c r="E25" s="12">
        <v>2012</v>
      </c>
      <c r="F25" s="12" t="s">
        <v>888</v>
      </c>
      <c r="G25" s="13" t="s">
        <v>105</v>
      </c>
      <c r="H25" s="13" t="s">
        <v>106</v>
      </c>
    </row>
    <row r="26" s="9" customFormat="1" spans="1:8">
      <c r="A26" s="12">
        <v>45</v>
      </c>
      <c r="B26" s="9" t="s">
        <v>9</v>
      </c>
      <c r="C26" s="13" t="s">
        <v>10</v>
      </c>
      <c r="D26" s="13" t="s">
        <v>11</v>
      </c>
      <c r="E26" s="12">
        <v>2012</v>
      </c>
      <c r="F26" s="12" t="s">
        <v>889</v>
      </c>
      <c r="G26" s="13" t="s">
        <v>107</v>
      </c>
      <c r="H26" s="13" t="s">
        <v>108</v>
      </c>
    </row>
    <row r="27" s="9" customFormat="1" spans="1:8">
      <c r="A27" s="12">
        <v>46</v>
      </c>
      <c r="B27" s="9" t="s">
        <v>9</v>
      </c>
      <c r="C27" s="13" t="s">
        <v>10</v>
      </c>
      <c r="D27" s="13" t="s">
        <v>11</v>
      </c>
      <c r="E27" s="12">
        <v>2011</v>
      </c>
      <c r="F27" s="12" t="s">
        <v>888</v>
      </c>
      <c r="G27" s="13" t="s">
        <v>109</v>
      </c>
      <c r="H27" s="13" t="s">
        <v>110</v>
      </c>
    </row>
    <row r="28" s="9" customFormat="1" spans="1:8">
      <c r="A28" s="12">
        <v>47</v>
      </c>
      <c r="B28" s="9" t="s">
        <v>9</v>
      </c>
      <c r="C28" s="13" t="s">
        <v>10</v>
      </c>
      <c r="D28" s="13" t="s">
        <v>11</v>
      </c>
      <c r="E28" s="12">
        <v>2013</v>
      </c>
      <c r="F28" s="12" t="s">
        <v>889</v>
      </c>
      <c r="G28" s="13" t="s">
        <v>111</v>
      </c>
      <c r="H28" s="13" t="s">
        <v>112</v>
      </c>
    </row>
    <row r="29" s="9" customFormat="1" spans="1:8">
      <c r="A29" s="12">
        <v>49</v>
      </c>
      <c r="B29" s="9" t="s">
        <v>9</v>
      </c>
      <c r="C29" s="13" t="s">
        <v>10</v>
      </c>
      <c r="D29" s="13" t="s">
        <v>54</v>
      </c>
      <c r="E29" s="12">
        <v>2017</v>
      </c>
      <c r="F29" s="12" t="s">
        <v>889</v>
      </c>
      <c r="G29" s="13" t="s">
        <v>115</v>
      </c>
      <c r="H29" s="13" t="s">
        <v>116</v>
      </c>
    </row>
    <row r="30" s="9" customFormat="1" spans="1:8">
      <c r="A30" s="12">
        <v>53</v>
      </c>
      <c r="B30" s="9" t="s">
        <v>9</v>
      </c>
      <c r="C30" s="13" t="s">
        <v>10</v>
      </c>
      <c r="D30" s="13" t="s">
        <v>11</v>
      </c>
      <c r="E30" s="12">
        <v>2010</v>
      </c>
      <c r="F30" s="12" t="s">
        <v>888</v>
      </c>
      <c r="G30" s="13" t="s">
        <v>124</v>
      </c>
      <c r="H30" s="13" t="s">
        <v>125</v>
      </c>
    </row>
    <row r="31" s="9" customFormat="1" spans="1:8">
      <c r="A31" s="12">
        <v>54</v>
      </c>
      <c r="B31" s="9" t="s">
        <v>9</v>
      </c>
      <c r="C31" s="13" t="s">
        <v>10</v>
      </c>
      <c r="D31" s="13" t="s">
        <v>11</v>
      </c>
      <c r="E31" s="12">
        <v>2019</v>
      </c>
      <c r="F31" s="12" t="s">
        <v>888</v>
      </c>
      <c r="G31" s="13" t="s">
        <v>126</v>
      </c>
      <c r="H31" s="13" t="s">
        <v>127</v>
      </c>
    </row>
    <row r="32" s="9" customFormat="1" spans="1:8">
      <c r="A32" s="12">
        <v>55</v>
      </c>
      <c r="B32" s="9" t="s">
        <v>9</v>
      </c>
      <c r="C32" s="13" t="s">
        <v>10</v>
      </c>
      <c r="D32" s="13" t="s">
        <v>11</v>
      </c>
      <c r="E32" s="12">
        <v>2022</v>
      </c>
      <c r="F32" s="12" t="s">
        <v>888</v>
      </c>
      <c r="G32" s="13" t="s">
        <v>128</v>
      </c>
      <c r="H32" s="13" t="s">
        <v>129</v>
      </c>
    </row>
    <row r="33" s="9" customFormat="1" spans="1:8">
      <c r="A33" s="12">
        <v>56</v>
      </c>
      <c r="B33" s="9" t="s">
        <v>9</v>
      </c>
      <c r="C33" s="13" t="s">
        <v>10</v>
      </c>
      <c r="D33" s="13" t="s">
        <v>11</v>
      </c>
      <c r="E33" s="12">
        <v>2016</v>
      </c>
      <c r="F33" s="12" t="s">
        <v>889</v>
      </c>
      <c r="G33" s="13" t="s">
        <v>130</v>
      </c>
      <c r="H33" s="13" t="s">
        <v>131</v>
      </c>
    </row>
    <row r="34" s="9" customFormat="1" spans="1:8">
      <c r="A34" s="12">
        <v>57</v>
      </c>
      <c r="B34" s="9" t="s">
        <v>9</v>
      </c>
      <c r="C34" s="13" t="s">
        <v>10</v>
      </c>
      <c r="D34" s="13" t="s">
        <v>11</v>
      </c>
      <c r="E34" s="12">
        <v>2020</v>
      </c>
      <c r="F34" s="12" t="s">
        <v>889</v>
      </c>
      <c r="G34" s="13" t="s">
        <v>132</v>
      </c>
      <c r="H34" s="13" t="s">
        <v>133</v>
      </c>
    </row>
    <row r="35" s="9" customFormat="1" spans="1:8">
      <c r="A35" s="12">
        <v>58</v>
      </c>
      <c r="B35" s="9" t="s">
        <v>9</v>
      </c>
      <c r="C35" s="13" t="s">
        <v>10</v>
      </c>
      <c r="D35" s="13" t="s">
        <v>11</v>
      </c>
      <c r="E35" s="12">
        <v>2017</v>
      </c>
      <c r="F35" s="12" t="s">
        <v>889</v>
      </c>
      <c r="G35" s="13" t="s">
        <v>134</v>
      </c>
      <c r="H35" s="13" t="s">
        <v>135</v>
      </c>
    </row>
    <row r="36" s="9" customFormat="1" spans="1:8">
      <c r="A36" s="12">
        <v>59</v>
      </c>
      <c r="B36" s="9" t="s">
        <v>9</v>
      </c>
      <c r="C36" s="13" t="s">
        <v>10</v>
      </c>
      <c r="D36" s="13" t="s">
        <v>11</v>
      </c>
      <c r="E36" s="12">
        <v>2013</v>
      </c>
      <c r="F36" s="12" t="s">
        <v>889</v>
      </c>
      <c r="G36" s="13" t="s">
        <v>136</v>
      </c>
      <c r="H36" s="13" t="s">
        <v>137</v>
      </c>
    </row>
    <row r="37" s="9" customFormat="1" spans="1:8">
      <c r="A37" s="12">
        <v>60</v>
      </c>
      <c r="B37" s="9" t="s">
        <v>9</v>
      </c>
      <c r="C37" s="13" t="s">
        <v>10</v>
      </c>
      <c r="D37" s="13" t="s">
        <v>11</v>
      </c>
      <c r="E37" s="12">
        <v>2010</v>
      </c>
      <c r="F37" s="12" t="s">
        <v>889</v>
      </c>
      <c r="G37" s="13" t="s">
        <v>138</v>
      </c>
      <c r="H37" s="13" t="s">
        <v>139</v>
      </c>
    </row>
    <row r="38" s="9" customFormat="1" spans="1:8">
      <c r="A38" s="12">
        <v>64</v>
      </c>
      <c r="B38" s="9" t="s">
        <v>9</v>
      </c>
      <c r="C38" s="13" t="s">
        <v>10</v>
      </c>
      <c r="D38" s="13" t="s">
        <v>11</v>
      </c>
      <c r="E38" s="12">
        <v>2013</v>
      </c>
      <c r="F38" s="12" t="s">
        <v>889</v>
      </c>
      <c r="G38" s="13" t="s">
        <v>146</v>
      </c>
      <c r="H38" s="13" t="s">
        <v>147</v>
      </c>
    </row>
    <row r="39" s="9" customFormat="1" spans="1:8">
      <c r="A39" s="12">
        <v>65</v>
      </c>
      <c r="B39" s="9" t="s">
        <v>9</v>
      </c>
      <c r="C39" s="13" t="s">
        <v>10</v>
      </c>
      <c r="D39" s="13" t="s">
        <v>11</v>
      </c>
      <c r="E39" s="12">
        <v>2014</v>
      </c>
      <c r="F39" s="12" t="s">
        <v>889</v>
      </c>
      <c r="G39" s="13" t="s">
        <v>148</v>
      </c>
      <c r="H39" s="13" t="s">
        <v>149</v>
      </c>
    </row>
    <row r="40" s="9" customFormat="1" spans="1:8">
      <c r="A40" s="12">
        <v>69</v>
      </c>
      <c r="B40" s="9" t="s">
        <v>9</v>
      </c>
      <c r="C40" s="13" t="s">
        <v>10</v>
      </c>
      <c r="D40" s="13" t="s">
        <v>11</v>
      </c>
      <c r="E40" s="12">
        <v>2011</v>
      </c>
      <c r="F40" s="12" t="s">
        <v>889</v>
      </c>
      <c r="G40" s="13" t="s">
        <v>156</v>
      </c>
      <c r="H40" s="13" t="s">
        <v>157</v>
      </c>
    </row>
    <row r="41" s="9" customFormat="1" spans="1:8">
      <c r="A41" s="12">
        <v>70</v>
      </c>
      <c r="B41" s="9" t="s">
        <v>9</v>
      </c>
      <c r="C41" s="13" t="s">
        <v>10</v>
      </c>
      <c r="D41" s="13" t="s">
        <v>11</v>
      </c>
      <c r="E41" s="12">
        <v>2013</v>
      </c>
      <c r="F41" s="12" t="s">
        <v>888</v>
      </c>
      <c r="G41" s="13" t="s">
        <v>158</v>
      </c>
      <c r="H41" s="13" t="s">
        <v>159</v>
      </c>
    </row>
    <row r="42" s="9" customFormat="1" spans="1:8">
      <c r="A42" s="12">
        <v>73</v>
      </c>
      <c r="B42" s="9" t="s">
        <v>9</v>
      </c>
      <c r="C42" s="13" t="s">
        <v>10</v>
      </c>
      <c r="D42" s="13" t="s">
        <v>11</v>
      </c>
      <c r="E42" s="12">
        <v>2017</v>
      </c>
      <c r="F42" s="12" t="s">
        <v>888</v>
      </c>
      <c r="G42" s="13" t="s">
        <v>163</v>
      </c>
      <c r="H42" s="13" t="s">
        <v>164</v>
      </c>
    </row>
    <row r="43" s="9" customFormat="1" spans="1:8">
      <c r="A43" s="12">
        <v>77</v>
      </c>
      <c r="B43" s="9" t="s">
        <v>9</v>
      </c>
      <c r="C43" s="13" t="s">
        <v>10</v>
      </c>
      <c r="D43" s="13" t="s">
        <v>11</v>
      </c>
      <c r="E43" s="12">
        <v>2011</v>
      </c>
      <c r="F43" s="12" t="s">
        <v>888</v>
      </c>
      <c r="G43" s="13" t="s">
        <v>171</v>
      </c>
      <c r="H43" s="13" t="s">
        <v>172</v>
      </c>
    </row>
    <row r="44" s="9" customFormat="1" spans="1:8">
      <c r="A44" s="12">
        <v>78</v>
      </c>
      <c r="B44" s="9" t="s">
        <v>9</v>
      </c>
      <c r="C44" s="13" t="s">
        <v>10</v>
      </c>
      <c r="D44" s="13" t="s">
        <v>11</v>
      </c>
      <c r="E44" s="12">
        <v>2014</v>
      </c>
      <c r="F44" s="12" t="s">
        <v>888</v>
      </c>
      <c r="G44" s="13" t="s">
        <v>173</v>
      </c>
      <c r="H44" s="13" t="s">
        <v>174</v>
      </c>
    </row>
    <row r="45" s="9" customFormat="1" spans="1:8">
      <c r="A45" s="12">
        <v>79</v>
      </c>
      <c r="B45" s="9" t="s">
        <v>9</v>
      </c>
      <c r="C45" s="13" t="s">
        <v>10</v>
      </c>
      <c r="D45" s="13" t="s">
        <v>11</v>
      </c>
      <c r="E45" s="12">
        <v>2019</v>
      </c>
      <c r="F45" s="12" t="s">
        <v>889</v>
      </c>
      <c r="G45" s="13" t="s">
        <v>175</v>
      </c>
      <c r="H45" s="13" t="s">
        <v>176</v>
      </c>
    </row>
    <row r="46" s="9" customFormat="1" spans="1:8">
      <c r="A46" s="12">
        <v>81</v>
      </c>
      <c r="B46" s="9" t="s">
        <v>9</v>
      </c>
      <c r="C46" s="13" t="s">
        <v>10</v>
      </c>
      <c r="D46" s="13" t="s">
        <v>11</v>
      </c>
      <c r="E46" s="12">
        <v>2012</v>
      </c>
      <c r="F46" s="12" t="s">
        <v>888</v>
      </c>
      <c r="G46" s="13" t="s">
        <v>179</v>
      </c>
      <c r="H46" s="13" t="s">
        <v>180</v>
      </c>
    </row>
    <row r="47" s="9" customFormat="1" spans="1:8">
      <c r="A47" s="12">
        <v>83</v>
      </c>
      <c r="B47" s="9" t="s">
        <v>9</v>
      </c>
      <c r="C47" s="13" t="s">
        <v>10</v>
      </c>
      <c r="D47" s="13" t="s">
        <v>11</v>
      </c>
      <c r="E47" s="12">
        <v>2016</v>
      </c>
      <c r="F47" s="12" t="s">
        <v>889</v>
      </c>
      <c r="G47" s="13" t="s">
        <v>183</v>
      </c>
      <c r="H47" s="13" t="s">
        <v>184</v>
      </c>
    </row>
    <row r="48" s="9" customFormat="1" spans="1:8">
      <c r="A48" s="12">
        <v>85</v>
      </c>
      <c r="B48" s="9" t="s">
        <v>9</v>
      </c>
      <c r="C48" s="13" t="s">
        <v>10</v>
      </c>
      <c r="D48" s="13" t="s">
        <v>11</v>
      </c>
      <c r="E48" s="12">
        <v>2018</v>
      </c>
      <c r="F48" s="12" t="s">
        <v>889</v>
      </c>
      <c r="G48" s="13" t="s">
        <v>187</v>
      </c>
      <c r="H48" s="13" t="s">
        <v>188</v>
      </c>
    </row>
    <row r="49" s="9" customFormat="1" spans="1:8">
      <c r="A49" s="12">
        <v>86</v>
      </c>
      <c r="B49" s="9" t="s">
        <v>9</v>
      </c>
      <c r="C49" s="13" t="s">
        <v>10</v>
      </c>
      <c r="D49" s="13" t="s">
        <v>11</v>
      </c>
      <c r="E49" s="12">
        <v>2012</v>
      </c>
      <c r="F49" s="12" t="s">
        <v>889</v>
      </c>
      <c r="G49" s="13" t="s">
        <v>189</v>
      </c>
      <c r="H49" s="13" t="s">
        <v>190</v>
      </c>
    </row>
    <row r="50" s="9" customFormat="1" spans="1:8">
      <c r="A50" s="12">
        <v>87</v>
      </c>
      <c r="B50" s="9" t="s">
        <v>9</v>
      </c>
      <c r="C50" s="13" t="s">
        <v>10</v>
      </c>
      <c r="D50" s="13" t="s">
        <v>11</v>
      </c>
      <c r="E50" s="12">
        <v>2012</v>
      </c>
      <c r="F50" s="12" t="s">
        <v>888</v>
      </c>
      <c r="G50" s="13" t="s">
        <v>191</v>
      </c>
      <c r="H50" s="13" t="s">
        <v>192</v>
      </c>
    </row>
    <row r="51" s="9" customFormat="1" spans="1:8">
      <c r="A51" s="12">
        <v>130</v>
      </c>
      <c r="B51" s="9" t="s">
        <v>9</v>
      </c>
      <c r="C51" s="13" t="s">
        <v>278</v>
      </c>
      <c r="D51" s="13" t="s">
        <v>54</v>
      </c>
      <c r="E51" s="12">
        <v>2025</v>
      </c>
      <c r="F51" s="12" t="s">
        <v>889</v>
      </c>
      <c r="G51" s="13" t="s">
        <v>279</v>
      </c>
      <c r="H51" s="13" t="s">
        <v>280</v>
      </c>
    </row>
    <row r="52" s="9" customFormat="1" spans="1:8">
      <c r="A52" s="12">
        <v>132</v>
      </c>
      <c r="B52" s="9" t="s">
        <v>9</v>
      </c>
      <c r="C52" s="13" t="s">
        <v>278</v>
      </c>
      <c r="D52" s="13" t="s">
        <v>11</v>
      </c>
      <c r="E52" s="12">
        <v>2010</v>
      </c>
      <c r="F52" s="12" t="s">
        <v>888</v>
      </c>
      <c r="G52" s="13" t="s">
        <v>283</v>
      </c>
      <c r="H52" s="13" t="s">
        <v>284</v>
      </c>
    </row>
    <row r="53" s="9" customFormat="1" spans="1:8">
      <c r="A53" s="12">
        <v>133</v>
      </c>
      <c r="B53" s="9" t="s">
        <v>9</v>
      </c>
      <c r="C53" s="13" t="s">
        <v>278</v>
      </c>
      <c r="D53" s="13" t="s">
        <v>11</v>
      </c>
      <c r="E53" s="12">
        <v>2019</v>
      </c>
      <c r="F53" s="12" t="s">
        <v>889</v>
      </c>
      <c r="G53" s="13" t="s">
        <v>285</v>
      </c>
      <c r="H53" s="13" t="s">
        <v>286</v>
      </c>
    </row>
    <row r="54" s="9" customFormat="1" spans="1:8">
      <c r="A54" s="12">
        <v>135</v>
      </c>
      <c r="B54" s="9" t="s">
        <v>9</v>
      </c>
      <c r="C54" s="13" t="s">
        <v>278</v>
      </c>
      <c r="D54" s="13" t="s">
        <v>11</v>
      </c>
      <c r="E54" s="12">
        <v>2022</v>
      </c>
      <c r="F54" s="12" t="s">
        <v>889</v>
      </c>
      <c r="G54" s="13" t="s">
        <v>289</v>
      </c>
      <c r="H54" s="13" t="s">
        <v>290</v>
      </c>
    </row>
    <row r="55" s="9" customFormat="1" spans="1:8">
      <c r="A55" s="12">
        <v>136</v>
      </c>
      <c r="B55" s="9" t="s">
        <v>9</v>
      </c>
      <c r="C55" s="13" t="s">
        <v>278</v>
      </c>
      <c r="D55" s="13" t="s">
        <v>11</v>
      </c>
      <c r="E55" s="12">
        <v>2013</v>
      </c>
      <c r="F55" s="12" t="s">
        <v>889</v>
      </c>
      <c r="G55" s="13" t="s">
        <v>291</v>
      </c>
      <c r="H55" s="13" t="s">
        <v>292</v>
      </c>
    </row>
    <row r="56" s="9" customFormat="1" spans="1:8">
      <c r="A56" s="12">
        <v>137</v>
      </c>
      <c r="B56" s="9" t="s">
        <v>9</v>
      </c>
      <c r="C56" s="13" t="s">
        <v>278</v>
      </c>
      <c r="D56" s="13" t="s">
        <v>11</v>
      </c>
      <c r="E56" s="12">
        <v>2010</v>
      </c>
      <c r="F56" s="12" t="s">
        <v>889</v>
      </c>
      <c r="G56" s="13" t="s">
        <v>293</v>
      </c>
      <c r="H56" s="13" t="s">
        <v>294</v>
      </c>
    </row>
    <row r="57" s="9" customFormat="1" spans="1:8">
      <c r="A57" s="12">
        <v>138</v>
      </c>
      <c r="B57" s="9" t="s">
        <v>9</v>
      </c>
      <c r="C57" s="13" t="s">
        <v>278</v>
      </c>
      <c r="D57" s="13" t="s">
        <v>11</v>
      </c>
      <c r="E57" s="12">
        <v>2014</v>
      </c>
      <c r="F57" s="12" t="s">
        <v>889</v>
      </c>
      <c r="G57" s="13" t="s">
        <v>295</v>
      </c>
      <c r="H57" s="13" t="s">
        <v>296</v>
      </c>
    </row>
    <row r="58" s="9" customFormat="1" spans="1:8">
      <c r="A58" s="12">
        <v>139</v>
      </c>
      <c r="B58" s="9" t="s">
        <v>9</v>
      </c>
      <c r="C58" s="13" t="s">
        <v>278</v>
      </c>
      <c r="D58" s="13" t="s">
        <v>11</v>
      </c>
      <c r="E58" s="12">
        <v>2010</v>
      </c>
      <c r="F58" s="12" t="s">
        <v>888</v>
      </c>
      <c r="G58" s="13" t="s">
        <v>297</v>
      </c>
      <c r="H58" s="13" t="s">
        <v>298</v>
      </c>
    </row>
    <row r="59" s="9" customFormat="1" spans="1:8">
      <c r="A59" s="12">
        <v>140</v>
      </c>
      <c r="B59" s="9" t="s">
        <v>9</v>
      </c>
      <c r="C59" s="13" t="s">
        <v>278</v>
      </c>
      <c r="D59" s="13" t="s">
        <v>54</v>
      </c>
      <c r="E59" s="12">
        <v>2017</v>
      </c>
      <c r="F59" s="12" t="s">
        <v>889</v>
      </c>
      <c r="G59" s="13" t="s">
        <v>299</v>
      </c>
      <c r="H59" s="13" t="s">
        <v>300</v>
      </c>
    </row>
    <row r="60" s="9" customFormat="1" spans="1:8">
      <c r="A60" s="12">
        <v>141</v>
      </c>
      <c r="B60" s="9" t="s">
        <v>9</v>
      </c>
      <c r="C60" s="13" t="s">
        <v>278</v>
      </c>
      <c r="D60" s="13" t="s">
        <v>54</v>
      </c>
      <c r="E60" s="12">
        <v>2014</v>
      </c>
      <c r="F60" s="12" t="s">
        <v>889</v>
      </c>
      <c r="G60" s="13" t="s">
        <v>301</v>
      </c>
      <c r="H60" s="13" t="s">
        <v>302</v>
      </c>
    </row>
    <row r="61" s="9" customFormat="1" spans="1:8">
      <c r="A61" s="12">
        <v>143</v>
      </c>
      <c r="B61" s="9" t="s">
        <v>9</v>
      </c>
      <c r="C61" s="13" t="s">
        <v>278</v>
      </c>
      <c r="D61" s="13" t="s">
        <v>54</v>
      </c>
      <c r="E61" s="12">
        <v>2012</v>
      </c>
      <c r="F61" s="12" t="s">
        <v>889</v>
      </c>
      <c r="G61" s="13" t="s">
        <v>305</v>
      </c>
      <c r="H61" s="13" t="s">
        <v>306</v>
      </c>
    </row>
    <row r="62" s="9" customFormat="1" spans="1:8">
      <c r="A62" s="12">
        <v>148</v>
      </c>
      <c r="B62" s="9" t="s">
        <v>9</v>
      </c>
      <c r="C62" s="13" t="s">
        <v>278</v>
      </c>
      <c r="D62" s="13" t="s">
        <v>54</v>
      </c>
      <c r="E62" s="12">
        <v>2010</v>
      </c>
      <c r="F62" s="12" t="s">
        <v>888</v>
      </c>
      <c r="G62" s="13" t="s">
        <v>314</v>
      </c>
      <c r="H62" s="13" t="s">
        <v>315</v>
      </c>
    </row>
    <row r="63" s="9" customFormat="1" spans="1:8">
      <c r="A63" s="12">
        <v>149</v>
      </c>
      <c r="B63" s="9" t="s">
        <v>9</v>
      </c>
      <c r="C63" s="13" t="s">
        <v>278</v>
      </c>
      <c r="D63" s="13" t="s">
        <v>54</v>
      </c>
      <c r="E63" s="12">
        <v>2015</v>
      </c>
      <c r="F63" s="12" t="s">
        <v>888</v>
      </c>
      <c r="G63" s="13" t="s">
        <v>316</v>
      </c>
      <c r="H63" s="13" t="s">
        <v>317</v>
      </c>
    </row>
    <row r="64" s="9" customFormat="1" spans="1:8">
      <c r="A64" s="12">
        <v>150</v>
      </c>
      <c r="B64" s="9" t="s">
        <v>9</v>
      </c>
      <c r="C64" s="13" t="s">
        <v>278</v>
      </c>
      <c r="D64" s="13" t="s">
        <v>54</v>
      </c>
      <c r="E64" s="12">
        <v>2014</v>
      </c>
      <c r="F64" s="12" t="s">
        <v>888</v>
      </c>
      <c r="G64" s="13" t="s">
        <v>318</v>
      </c>
      <c r="H64" s="13" t="s">
        <v>319</v>
      </c>
    </row>
    <row r="65" s="9" customFormat="1" spans="1:8">
      <c r="A65" s="12">
        <v>151</v>
      </c>
      <c r="B65" s="9" t="s">
        <v>9</v>
      </c>
      <c r="C65" s="13" t="s">
        <v>278</v>
      </c>
      <c r="D65" s="13" t="s">
        <v>54</v>
      </c>
      <c r="E65" s="12">
        <v>2011</v>
      </c>
      <c r="F65" s="12" t="s">
        <v>888</v>
      </c>
      <c r="G65" s="13" t="s">
        <v>320</v>
      </c>
      <c r="H65" s="13" t="s">
        <v>321</v>
      </c>
    </row>
    <row r="66" s="9" customFormat="1" spans="1:8">
      <c r="A66" s="12">
        <v>152</v>
      </c>
      <c r="B66" s="9" t="s">
        <v>9</v>
      </c>
      <c r="C66" s="13" t="s">
        <v>278</v>
      </c>
      <c r="D66" s="13" t="s">
        <v>54</v>
      </c>
      <c r="E66" s="12">
        <v>2014</v>
      </c>
      <c r="F66" s="12" t="s">
        <v>889</v>
      </c>
      <c r="G66" s="13" t="s">
        <v>322</v>
      </c>
      <c r="H66" s="13" t="s">
        <v>323</v>
      </c>
    </row>
    <row r="67" s="9" customFormat="1" spans="1:8">
      <c r="A67" s="12">
        <v>153</v>
      </c>
      <c r="B67" s="9" t="s">
        <v>9</v>
      </c>
      <c r="C67" s="13" t="s">
        <v>278</v>
      </c>
      <c r="D67" s="13" t="s">
        <v>54</v>
      </c>
      <c r="E67" s="12">
        <v>2012</v>
      </c>
      <c r="F67" s="12" t="s">
        <v>889</v>
      </c>
      <c r="G67" s="13" t="s">
        <v>324</v>
      </c>
      <c r="H67" s="13" t="s">
        <v>325</v>
      </c>
    </row>
    <row r="68" s="9" customFormat="1" spans="1:8">
      <c r="A68" s="12">
        <v>155</v>
      </c>
      <c r="B68" s="9" t="s">
        <v>9</v>
      </c>
      <c r="C68" s="13" t="s">
        <v>278</v>
      </c>
      <c r="D68" s="13" t="s">
        <v>54</v>
      </c>
      <c r="E68" s="12">
        <v>2024</v>
      </c>
      <c r="F68" s="12" t="s">
        <v>889</v>
      </c>
      <c r="G68" s="13" t="s">
        <v>328</v>
      </c>
      <c r="H68" s="13" t="s">
        <v>329</v>
      </c>
    </row>
    <row r="69" s="9" customFormat="1" spans="1:8">
      <c r="A69" s="12">
        <v>156</v>
      </c>
      <c r="B69" s="9" t="s">
        <v>9</v>
      </c>
      <c r="C69" s="13" t="s">
        <v>278</v>
      </c>
      <c r="D69" s="13" t="s">
        <v>54</v>
      </c>
      <c r="E69" s="12">
        <v>2011</v>
      </c>
      <c r="F69" s="12" t="s">
        <v>889</v>
      </c>
      <c r="G69" s="13" t="s">
        <v>330</v>
      </c>
      <c r="H69" s="13" t="s">
        <v>331</v>
      </c>
    </row>
    <row r="70" s="9" customFormat="1" spans="1:8">
      <c r="A70" s="12">
        <v>157</v>
      </c>
      <c r="B70" s="9" t="s">
        <v>9</v>
      </c>
      <c r="C70" s="13" t="s">
        <v>278</v>
      </c>
      <c r="D70" s="13" t="s">
        <v>54</v>
      </c>
      <c r="E70" s="12">
        <v>2020</v>
      </c>
      <c r="F70" s="12" t="s">
        <v>889</v>
      </c>
      <c r="G70" s="13" t="s">
        <v>332</v>
      </c>
      <c r="H70" s="13" t="s">
        <v>333</v>
      </c>
    </row>
    <row r="71" s="9" customFormat="1" spans="1:8">
      <c r="A71" s="12">
        <v>158</v>
      </c>
      <c r="B71" s="9" t="s">
        <v>9</v>
      </c>
      <c r="C71" s="13" t="s">
        <v>278</v>
      </c>
      <c r="D71" s="13" t="s">
        <v>54</v>
      </c>
      <c r="E71" s="12">
        <v>2015</v>
      </c>
      <c r="F71" s="12" t="s">
        <v>888</v>
      </c>
      <c r="G71" s="13" t="s">
        <v>334</v>
      </c>
      <c r="H71" s="13" t="s">
        <v>335</v>
      </c>
    </row>
    <row r="72" s="9" customFormat="1" spans="1:8">
      <c r="A72" s="12">
        <v>159</v>
      </c>
      <c r="B72" s="9" t="s">
        <v>9</v>
      </c>
      <c r="C72" s="13" t="s">
        <v>278</v>
      </c>
      <c r="D72" s="13" t="s">
        <v>54</v>
      </c>
      <c r="E72" s="12">
        <v>2012</v>
      </c>
      <c r="F72" s="12" t="s">
        <v>888</v>
      </c>
      <c r="G72" s="13" t="s">
        <v>336</v>
      </c>
      <c r="H72" s="13" t="s">
        <v>337</v>
      </c>
    </row>
    <row r="73" s="9" customFormat="1" spans="1:8">
      <c r="A73" s="12">
        <v>161</v>
      </c>
      <c r="B73" s="9" t="s">
        <v>9</v>
      </c>
      <c r="C73" s="13" t="s">
        <v>278</v>
      </c>
      <c r="D73" s="13" t="s">
        <v>54</v>
      </c>
      <c r="E73" s="12">
        <v>2020</v>
      </c>
      <c r="F73" s="12" t="s">
        <v>889</v>
      </c>
      <c r="G73" s="13" t="s">
        <v>340</v>
      </c>
      <c r="H73" s="13" t="s">
        <v>341</v>
      </c>
    </row>
    <row r="74" s="9" customFormat="1" spans="1:8">
      <c r="A74" s="12">
        <v>162</v>
      </c>
      <c r="B74" s="9" t="s">
        <v>9</v>
      </c>
      <c r="C74" s="13" t="s">
        <v>278</v>
      </c>
      <c r="D74" s="13" t="s">
        <v>54</v>
      </c>
      <c r="E74" s="12">
        <v>2011</v>
      </c>
      <c r="F74" s="12" t="s">
        <v>888</v>
      </c>
      <c r="G74" s="13" t="s">
        <v>342</v>
      </c>
      <c r="H74" s="13" t="s">
        <v>343</v>
      </c>
    </row>
    <row r="75" s="9" customFormat="1" spans="1:8">
      <c r="A75" s="12">
        <v>163</v>
      </c>
      <c r="B75" s="9" t="s">
        <v>9</v>
      </c>
      <c r="C75" s="13" t="s">
        <v>278</v>
      </c>
      <c r="D75" s="13" t="s">
        <v>54</v>
      </c>
      <c r="E75" s="12">
        <v>2019</v>
      </c>
      <c r="F75" s="12" t="s">
        <v>888</v>
      </c>
      <c r="G75" s="13" t="s">
        <v>344</v>
      </c>
      <c r="H75" s="13" t="s">
        <v>345</v>
      </c>
    </row>
    <row r="76" s="9" customFormat="1" spans="1:8">
      <c r="A76" s="12">
        <v>165</v>
      </c>
      <c r="B76" s="9" t="s">
        <v>9</v>
      </c>
      <c r="C76" s="13" t="s">
        <v>278</v>
      </c>
      <c r="D76" s="13" t="s">
        <v>54</v>
      </c>
      <c r="E76" s="12">
        <v>2025</v>
      </c>
      <c r="F76" s="12" t="s">
        <v>888</v>
      </c>
      <c r="G76" s="13" t="s">
        <v>348</v>
      </c>
      <c r="H76" s="13" t="s">
        <v>349</v>
      </c>
    </row>
    <row r="77" s="9" customFormat="1" spans="1:8">
      <c r="A77" s="12">
        <v>166</v>
      </c>
      <c r="B77" s="9" t="s">
        <v>9</v>
      </c>
      <c r="C77" s="13" t="s">
        <v>278</v>
      </c>
      <c r="D77" s="13" t="s">
        <v>54</v>
      </c>
      <c r="E77" s="12">
        <v>2024</v>
      </c>
      <c r="F77" s="12" t="s">
        <v>889</v>
      </c>
      <c r="G77" s="13" t="s">
        <v>350</v>
      </c>
      <c r="H77" s="13" t="s">
        <v>351</v>
      </c>
    </row>
    <row r="78" s="9" customFormat="1" spans="1:8">
      <c r="A78" s="12">
        <v>167</v>
      </c>
      <c r="B78" s="9" t="s">
        <v>9</v>
      </c>
      <c r="C78" s="13" t="s">
        <v>278</v>
      </c>
      <c r="D78" s="13" t="s">
        <v>54</v>
      </c>
      <c r="E78" s="12">
        <v>2024</v>
      </c>
      <c r="F78" s="12" t="s">
        <v>888</v>
      </c>
      <c r="G78" s="13" t="s">
        <v>352</v>
      </c>
      <c r="H78" s="13" t="s">
        <v>353</v>
      </c>
    </row>
    <row r="79" s="9" customFormat="1" spans="1:8">
      <c r="A79" s="12">
        <v>169</v>
      </c>
      <c r="B79" s="9" t="s">
        <v>9</v>
      </c>
      <c r="C79" s="13" t="s">
        <v>278</v>
      </c>
      <c r="D79" s="13" t="s">
        <v>54</v>
      </c>
      <c r="E79" s="12">
        <v>2024</v>
      </c>
      <c r="F79" s="12" t="s">
        <v>888</v>
      </c>
      <c r="G79" s="13" t="s">
        <v>356</v>
      </c>
      <c r="H79" s="13" t="s">
        <v>357</v>
      </c>
    </row>
    <row r="80" s="9" customFormat="1" spans="1:8">
      <c r="A80" s="12">
        <v>170</v>
      </c>
      <c r="B80" s="9" t="s">
        <v>9</v>
      </c>
      <c r="C80" s="13" t="s">
        <v>278</v>
      </c>
      <c r="D80" s="13" t="s">
        <v>54</v>
      </c>
      <c r="E80" s="12">
        <v>2024</v>
      </c>
      <c r="F80" s="12" t="s">
        <v>888</v>
      </c>
      <c r="G80" s="13" t="s">
        <v>358</v>
      </c>
      <c r="H80" s="13" t="s">
        <v>359</v>
      </c>
    </row>
    <row r="81" s="9" customFormat="1" spans="1:8">
      <c r="A81" s="12">
        <v>171</v>
      </c>
      <c r="B81" s="9" t="s">
        <v>9</v>
      </c>
      <c r="C81" s="13" t="s">
        <v>278</v>
      </c>
      <c r="D81" s="13" t="s">
        <v>54</v>
      </c>
      <c r="E81" s="12">
        <v>2010</v>
      </c>
      <c r="F81" s="12" t="s">
        <v>889</v>
      </c>
      <c r="G81" s="13" t="s">
        <v>360</v>
      </c>
      <c r="H81" s="13" t="s">
        <v>361</v>
      </c>
    </row>
    <row r="82" s="9" customFormat="1" spans="1:8">
      <c r="A82" s="12">
        <v>172</v>
      </c>
      <c r="B82" s="9" t="s">
        <v>9</v>
      </c>
      <c r="C82" s="13" t="s">
        <v>278</v>
      </c>
      <c r="D82" s="13" t="s">
        <v>54</v>
      </c>
      <c r="E82" s="12">
        <v>2013</v>
      </c>
      <c r="F82" s="12" t="s">
        <v>888</v>
      </c>
      <c r="G82" s="13" t="s">
        <v>362</v>
      </c>
      <c r="H82" s="13" t="s">
        <v>363</v>
      </c>
    </row>
    <row r="83" s="9" customFormat="1" spans="1:8">
      <c r="A83" s="12">
        <v>173</v>
      </c>
      <c r="B83" s="9" t="s">
        <v>9</v>
      </c>
      <c r="C83" s="13" t="s">
        <v>278</v>
      </c>
      <c r="D83" s="13" t="s">
        <v>54</v>
      </c>
      <c r="E83" s="12">
        <v>2017</v>
      </c>
      <c r="F83" s="12" t="s">
        <v>888</v>
      </c>
      <c r="G83" s="13" t="s">
        <v>364</v>
      </c>
      <c r="H83" s="13" t="s">
        <v>365</v>
      </c>
    </row>
    <row r="84" s="9" customFormat="1" spans="1:8">
      <c r="A84" s="12">
        <v>174</v>
      </c>
      <c r="B84" s="9" t="s">
        <v>9</v>
      </c>
      <c r="C84" s="13" t="s">
        <v>278</v>
      </c>
      <c r="D84" s="13" t="s">
        <v>54</v>
      </c>
      <c r="E84" s="12">
        <v>2024</v>
      </c>
      <c r="F84" s="12" t="s">
        <v>888</v>
      </c>
      <c r="G84" s="13" t="s">
        <v>366</v>
      </c>
      <c r="H84" s="13" t="s">
        <v>367</v>
      </c>
    </row>
    <row r="85" s="9" customFormat="1" spans="1:8">
      <c r="A85" s="12">
        <v>175</v>
      </c>
      <c r="B85" s="9" t="s">
        <v>9</v>
      </c>
      <c r="C85" s="13" t="s">
        <v>278</v>
      </c>
      <c r="D85" s="13" t="s">
        <v>54</v>
      </c>
      <c r="E85" s="12">
        <v>2014</v>
      </c>
      <c r="F85" s="12" t="s">
        <v>888</v>
      </c>
      <c r="G85" s="13" t="s">
        <v>368</v>
      </c>
      <c r="H85" s="13" t="s">
        <v>369</v>
      </c>
    </row>
    <row r="86" s="9" customFormat="1" spans="1:8">
      <c r="A86" s="12">
        <v>176</v>
      </c>
      <c r="B86" s="9" t="s">
        <v>9</v>
      </c>
      <c r="C86" s="13" t="s">
        <v>278</v>
      </c>
      <c r="D86" s="13" t="s">
        <v>54</v>
      </c>
      <c r="E86" s="12">
        <v>2013</v>
      </c>
      <c r="F86" s="12" t="s">
        <v>888</v>
      </c>
      <c r="G86" s="13" t="s">
        <v>370</v>
      </c>
      <c r="H86" s="13" t="s">
        <v>371</v>
      </c>
    </row>
    <row r="87" s="9" customFormat="1" spans="1:8">
      <c r="A87" s="12">
        <v>177</v>
      </c>
      <c r="B87" s="9" t="s">
        <v>9</v>
      </c>
      <c r="C87" s="13" t="s">
        <v>278</v>
      </c>
      <c r="D87" s="13" t="s">
        <v>54</v>
      </c>
      <c r="E87" s="12">
        <v>2017</v>
      </c>
      <c r="F87" s="12" t="s">
        <v>888</v>
      </c>
      <c r="G87" s="13" t="s">
        <v>372</v>
      </c>
      <c r="H87" s="13" t="s">
        <v>373</v>
      </c>
    </row>
    <row r="88" s="9" customFormat="1" spans="1:8">
      <c r="A88" s="12">
        <v>178</v>
      </c>
      <c r="B88" s="9" t="s">
        <v>9</v>
      </c>
      <c r="C88" s="13" t="s">
        <v>278</v>
      </c>
      <c r="D88" s="13" t="s">
        <v>54</v>
      </c>
      <c r="E88" s="12">
        <v>2014</v>
      </c>
      <c r="F88" s="12" t="s">
        <v>888</v>
      </c>
      <c r="G88" s="13" t="s">
        <v>374</v>
      </c>
      <c r="H88" s="13" t="s">
        <v>375</v>
      </c>
    </row>
    <row r="89" s="9" customFormat="1" spans="1:8">
      <c r="A89" s="12">
        <v>179</v>
      </c>
      <c r="B89" s="9" t="s">
        <v>9</v>
      </c>
      <c r="C89" s="13" t="s">
        <v>278</v>
      </c>
      <c r="D89" s="13" t="s">
        <v>54</v>
      </c>
      <c r="E89" s="12">
        <v>2019</v>
      </c>
      <c r="F89" s="12" t="s">
        <v>888</v>
      </c>
      <c r="G89" s="13" t="s">
        <v>376</v>
      </c>
      <c r="H89" s="13" t="s">
        <v>377</v>
      </c>
    </row>
    <row r="90" s="9" customFormat="1" spans="1:8">
      <c r="A90" s="12">
        <v>180</v>
      </c>
      <c r="B90" s="9" t="s">
        <v>9</v>
      </c>
      <c r="C90" s="13" t="s">
        <v>278</v>
      </c>
      <c r="D90" s="13" t="s">
        <v>54</v>
      </c>
      <c r="E90" s="12">
        <v>2015</v>
      </c>
      <c r="F90" s="12" t="s">
        <v>888</v>
      </c>
      <c r="G90" s="13" t="s">
        <v>378</v>
      </c>
      <c r="H90" s="13" t="s">
        <v>379</v>
      </c>
    </row>
    <row r="91" s="9" customFormat="1" spans="1:8">
      <c r="A91" s="12">
        <v>183</v>
      </c>
      <c r="B91" s="9" t="s">
        <v>9</v>
      </c>
      <c r="C91" s="13" t="s">
        <v>278</v>
      </c>
      <c r="D91" s="13" t="s">
        <v>54</v>
      </c>
      <c r="E91" s="12">
        <v>2022</v>
      </c>
      <c r="F91" s="12" t="s">
        <v>888</v>
      </c>
      <c r="G91" s="13" t="s">
        <v>385</v>
      </c>
      <c r="H91" s="13" t="s">
        <v>386</v>
      </c>
    </row>
    <row r="92" s="9" customFormat="1" spans="1:8">
      <c r="A92" s="12">
        <v>184</v>
      </c>
      <c r="B92" s="9" t="s">
        <v>9</v>
      </c>
      <c r="C92" s="13" t="s">
        <v>278</v>
      </c>
      <c r="D92" s="13" t="s">
        <v>54</v>
      </c>
      <c r="E92" s="12">
        <v>2015</v>
      </c>
      <c r="F92" s="12" t="s">
        <v>888</v>
      </c>
      <c r="G92" s="13" t="s">
        <v>387</v>
      </c>
      <c r="H92" s="13" t="s">
        <v>388</v>
      </c>
    </row>
    <row r="93" s="9" customFormat="1" spans="1:8">
      <c r="A93" s="12">
        <v>185</v>
      </c>
      <c r="B93" s="9" t="s">
        <v>9</v>
      </c>
      <c r="C93" s="13" t="s">
        <v>278</v>
      </c>
      <c r="D93" s="13" t="s">
        <v>54</v>
      </c>
      <c r="E93" s="12">
        <v>2023</v>
      </c>
      <c r="F93" s="12" t="s">
        <v>888</v>
      </c>
      <c r="G93" s="13" t="s">
        <v>389</v>
      </c>
      <c r="H93" s="13" t="s">
        <v>390</v>
      </c>
    </row>
    <row r="94" s="9" customFormat="1" spans="1:8">
      <c r="A94" s="12">
        <v>186</v>
      </c>
      <c r="B94" s="9" t="s">
        <v>9</v>
      </c>
      <c r="C94" s="13" t="s">
        <v>278</v>
      </c>
      <c r="D94" s="13" t="s">
        <v>54</v>
      </c>
      <c r="E94" s="12">
        <v>2016</v>
      </c>
      <c r="F94" s="12" t="s">
        <v>888</v>
      </c>
      <c r="G94" s="13" t="s">
        <v>391</v>
      </c>
      <c r="H94" s="13" t="s">
        <v>392</v>
      </c>
    </row>
    <row r="95" s="9" customFormat="1" spans="1:8">
      <c r="A95" s="12">
        <v>188</v>
      </c>
      <c r="B95" s="9" t="s">
        <v>9</v>
      </c>
      <c r="C95" s="13" t="s">
        <v>278</v>
      </c>
      <c r="D95" s="13" t="s">
        <v>54</v>
      </c>
      <c r="E95" s="12">
        <v>2012</v>
      </c>
      <c r="F95" s="12" t="s">
        <v>888</v>
      </c>
      <c r="G95" s="13" t="s">
        <v>395</v>
      </c>
      <c r="H95" s="13" t="s">
        <v>396</v>
      </c>
    </row>
    <row r="96" s="9" customFormat="1" spans="1:8">
      <c r="A96" s="12">
        <v>189</v>
      </c>
      <c r="B96" s="9" t="s">
        <v>9</v>
      </c>
      <c r="C96" s="13" t="s">
        <v>278</v>
      </c>
      <c r="D96" s="13" t="s">
        <v>54</v>
      </c>
      <c r="E96" s="12">
        <v>2014</v>
      </c>
      <c r="F96" s="12" t="s">
        <v>889</v>
      </c>
      <c r="G96" s="13" t="s">
        <v>397</v>
      </c>
      <c r="H96" s="13" t="s">
        <v>398</v>
      </c>
    </row>
    <row r="97" s="9" customFormat="1" spans="1:8">
      <c r="A97" s="12">
        <v>190</v>
      </c>
      <c r="B97" s="9" t="s">
        <v>9</v>
      </c>
      <c r="C97" s="13" t="s">
        <v>278</v>
      </c>
      <c r="D97" s="13" t="s">
        <v>54</v>
      </c>
      <c r="E97" s="12">
        <v>2012</v>
      </c>
      <c r="F97" s="12" t="s">
        <v>889</v>
      </c>
      <c r="G97" s="13" t="s">
        <v>399</v>
      </c>
      <c r="H97" s="13" t="s">
        <v>400</v>
      </c>
    </row>
    <row r="98" s="9" customFormat="1" spans="1:8">
      <c r="A98" s="12">
        <v>191</v>
      </c>
      <c r="B98" s="9" t="s">
        <v>9</v>
      </c>
      <c r="C98" s="13" t="s">
        <v>278</v>
      </c>
      <c r="D98" s="13" t="s">
        <v>54</v>
      </c>
      <c r="E98" s="12">
        <v>2013</v>
      </c>
      <c r="F98" s="12" t="s">
        <v>888</v>
      </c>
      <c r="G98" s="13" t="s">
        <v>401</v>
      </c>
      <c r="H98" s="13" t="s">
        <v>402</v>
      </c>
    </row>
    <row r="99" s="9" customFormat="1" spans="1:8">
      <c r="A99" s="12">
        <v>192</v>
      </c>
      <c r="B99" s="9" t="s">
        <v>9</v>
      </c>
      <c r="C99" s="13" t="s">
        <v>278</v>
      </c>
      <c r="D99" s="13" t="s">
        <v>54</v>
      </c>
      <c r="E99" s="12">
        <v>2015</v>
      </c>
      <c r="F99" s="12" t="s">
        <v>888</v>
      </c>
      <c r="G99" s="13" t="s">
        <v>403</v>
      </c>
      <c r="H99" s="13" t="s">
        <v>404</v>
      </c>
    </row>
    <row r="100" s="9" customFormat="1" spans="1:8">
      <c r="A100" s="12">
        <v>193</v>
      </c>
      <c r="B100" s="9" t="s">
        <v>9</v>
      </c>
      <c r="C100" s="13" t="s">
        <v>278</v>
      </c>
      <c r="D100" s="13" t="s">
        <v>54</v>
      </c>
      <c r="E100" s="12">
        <v>2013</v>
      </c>
      <c r="F100" s="12" t="s">
        <v>889</v>
      </c>
      <c r="G100" s="13" t="s">
        <v>405</v>
      </c>
      <c r="H100" s="13" t="s">
        <v>406</v>
      </c>
    </row>
    <row r="101" s="9" customFormat="1" spans="1:8">
      <c r="A101" s="12">
        <v>194</v>
      </c>
      <c r="B101" s="9" t="s">
        <v>9</v>
      </c>
      <c r="C101" s="13" t="s">
        <v>278</v>
      </c>
      <c r="D101" s="13" t="s">
        <v>54</v>
      </c>
      <c r="E101" s="12">
        <v>2022</v>
      </c>
      <c r="F101" s="12" t="s">
        <v>889</v>
      </c>
      <c r="G101" s="13" t="s">
        <v>407</v>
      </c>
      <c r="H101" s="13" t="s">
        <v>408</v>
      </c>
    </row>
    <row r="102" s="9" customFormat="1" spans="1:8">
      <c r="A102" s="12">
        <v>195</v>
      </c>
      <c r="B102" s="9" t="s">
        <v>9</v>
      </c>
      <c r="C102" s="13" t="s">
        <v>278</v>
      </c>
      <c r="D102" s="13" t="s">
        <v>54</v>
      </c>
      <c r="E102" s="12">
        <v>2015</v>
      </c>
      <c r="F102" s="12" t="s">
        <v>888</v>
      </c>
      <c r="G102" s="13" t="s">
        <v>409</v>
      </c>
      <c r="H102" s="13" t="s">
        <v>410</v>
      </c>
    </row>
    <row r="103" s="9" customFormat="1" spans="1:8">
      <c r="A103" s="12">
        <v>196</v>
      </c>
      <c r="B103" s="9" t="s">
        <v>9</v>
      </c>
      <c r="C103" s="13" t="s">
        <v>278</v>
      </c>
      <c r="D103" s="13" t="s">
        <v>54</v>
      </c>
      <c r="E103" s="12">
        <v>2024</v>
      </c>
      <c r="F103" s="12" t="s">
        <v>888</v>
      </c>
      <c r="G103" s="13" t="s">
        <v>411</v>
      </c>
      <c r="H103" s="13" t="s">
        <v>412</v>
      </c>
    </row>
    <row r="104" s="9" customFormat="1" spans="1:8">
      <c r="A104" s="12">
        <v>197</v>
      </c>
      <c r="B104" s="9" t="s">
        <v>9</v>
      </c>
      <c r="C104" s="13" t="s">
        <v>278</v>
      </c>
      <c r="D104" s="13" t="s">
        <v>54</v>
      </c>
      <c r="E104" s="12">
        <v>2019</v>
      </c>
      <c r="F104" s="12" t="s">
        <v>888</v>
      </c>
      <c r="G104" s="13" t="s">
        <v>413</v>
      </c>
      <c r="H104" s="13" t="s">
        <v>414</v>
      </c>
    </row>
    <row r="105" s="9" customFormat="1" spans="1:8">
      <c r="A105" s="12">
        <v>198</v>
      </c>
      <c r="B105" s="9" t="s">
        <v>9</v>
      </c>
      <c r="C105" s="13" t="s">
        <v>278</v>
      </c>
      <c r="D105" s="13" t="s">
        <v>54</v>
      </c>
      <c r="E105" s="12">
        <v>2021</v>
      </c>
      <c r="F105" s="12" t="s">
        <v>888</v>
      </c>
      <c r="G105" s="13" t="s">
        <v>415</v>
      </c>
      <c r="H105" s="13" t="s">
        <v>416</v>
      </c>
    </row>
    <row r="106" s="9" customFormat="1" spans="1:8">
      <c r="A106" s="12">
        <v>269</v>
      </c>
      <c r="B106" s="9" t="s">
        <v>9</v>
      </c>
      <c r="C106" s="13" t="s">
        <v>545</v>
      </c>
      <c r="D106" s="13" t="s">
        <v>121</v>
      </c>
      <c r="E106" s="12">
        <v>2013</v>
      </c>
      <c r="F106" s="12" t="s">
        <v>889</v>
      </c>
      <c r="G106" s="13" t="s">
        <v>551</v>
      </c>
      <c r="H106" s="13" t="s">
        <v>552</v>
      </c>
    </row>
    <row r="107" s="9" customFormat="1" spans="1:8">
      <c r="A107" s="12">
        <v>270</v>
      </c>
      <c r="B107" s="9" t="s">
        <v>9</v>
      </c>
      <c r="C107" s="13" t="s">
        <v>545</v>
      </c>
      <c r="D107" s="13" t="s">
        <v>11</v>
      </c>
      <c r="E107" s="12">
        <v>2014</v>
      </c>
      <c r="F107" s="12" t="s">
        <v>889</v>
      </c>
      <c r="G107" s="13" t="s">
        <v>553</v>
      </c>
      <c r="H107" s="13" t="s">
        <v>554</v>
      </c>
    </row>
    <row r="108" s="9" customFormat="1" spans="1:8">
      <c r="A108" s="12">
        <v>274</v>
      </c>
      <c r="B108" s="9" t="s">
        <v>9</v>
      </c>
      <c r="C108" s="13" t="s">
        <v>545</v>
      </c>
      <c r="D108" s="13" t="s">
        <v>11</v>
      </c>
      <c r="E108" s="12">
        <v>2015</v>
      </c>
      <c r="F108" s="12" t="s">
        <v>888</v>
      </c>
      <c r="G108" s="13" t="s">
        <v>560</v>
      </c>
      <c r="H108" s="13" t="s">
        <v>561</v>
      </c>
    </row>
    <row r="109" s="9" customFormat="1" spans="1:8">
      <c r="A109" s="12">
        <v>275</v>
      </c>
      <c r="B109" s="9" t="s">
        <v>9</v>
      </c>
      <c r="C109" s="13" t="s">
        <v>545</v>
      </c>
      <c r="D109" s="13" t="s">
        <v>121</v>
      </c>
      <c r="E109" s="12">
        <v>2024</v>
      </c>
      <c r="F109" s="12" t="s">
        <v>888</v>
      </c>
      <c r="G109" s="13" t="s">
        <v>562</v>
      </c>
      <c r="H109" s="13" t="s">
        <v>563</v>
      </c>
    </row>
    <row r="110" s="9" customFormat="1" spans="1:8">
      <c r="A110" s="12">
        <v>276</v>
      </c>
      <c r="B110" s="9" t="s">
        <v>9</v>
      </c>
      <c r="C110" s="13" t="s">
        <v>545</v>
      </c>
      <c r="D110" s="13" t="s">
        <v>11</v>
      </c>
      <c r="E110" s="12">
        <v>2013</v>
      </c>
      <c r="F110" s="12" t="s">
        <v>889</v>
      </c>
      <c r="G110" s="13" t="s">
        <v>564</v>
      </c>
      <c r="H110" s="13" t="s">
        <v>565</v>
      </c>
    </row>
    <row r="111" s="9" customFormat="1" spans="1:8">
      <c r="A111" s="12">
        <v>277</v>
      </c>
      <c r="B111" s="9" t="s">
        <v>9</v>
      </c>
      <c r="C111" s="13" t="s">
        <v>545</v>
      </c>
      <c r="D111" s="13" t="s">
        <v>11</v>
      </c>
      <c r="E111" s="12">
        <v>2010</v>
      </c>
      <c r="F111" s="12" t="s">
        <v>888</v>
      </c>
      <c r="G111" s="13" t="s">
        <v>566</v>
      </c>
      <c r="H111" s="13" t="s">
        <v>567</v>
      </c>
    </row>
    <row r="112" s="9" customFormat="1" spans="1:8">
      <c r="A112" s="12">
        <v>278</v>
      </c>
      <c r="B112" s="9" t="s">
        <v>9</v>
      </c>
      <c r="C112" s="13" t="s">
        <v>545</v>
      </c>
      <c r="D112" s="13" t="s">
        <v>11</v>
      </c>
      <c r="E112" s="12">
        <v>2018</v>
      </c>
      <c r="F112" s="12" t="s">
        <v>889</v>
      </c>
      <c r="G112" s="13" t="s">
        <v>568</v>
      </c>
      <c r="H112" s="13" t="s">
        <v>569</v>
      </c>
    </row>
    <row r="113" s="9" customFormat="1" spans="1:8">
      <c r="A113" s="12">
        <v>280</v>
      </c>
      <c r="B113" s="9" t="s">
        <v>9</v>
      </c>
      <c r="C113" s="13" t="s">
        <v>545</v>
      </c>
      <c r="D113" s="13" t="s">
        <v>54</v>
      </c>
      <c r="E113" s="12">
        <v>2019</v>
      </c>
      <c r="F113" s="12" t="s">
        <v>888</v>
      </c>
      <c r="G113" s="13" t="s">
        <v>572</v>
      </c>
      <c r="H113" s="13" t="s">
        <v>573</v>
      </c>
    </row>
    <row r="114" s="9" customFormat="1" spans="1:8">
      <c r="A114" s="12">
        <v>281</v>
      </c>
      <c r="B114" s="9" t="s">
        <v>9</v>
      </c>
      <c r="C114" s="13" t="s">
        <v>545</v>
      </c>
      <c r="D114" s="13" t="s">
        <v>54</v>
      </c>
      <c r="E114" s="12">
        <v>2019</v>
      </c>
      <c r="F114" s="12" t="s">
        <v>888</v>
      </c>
      <c r="G114" s="13" t="s">
        <v>574</v>
      </c>
      <c r="H114" s="13" t="s">
        <v>575</v>
      </c>
    </row>
    <row r="115" s="9" customFormat="1" spans="1:8">
      <c r="A115" s="12">
        <v>282</v>
      </c>
      <c r="B115" s="9" t="s">
        <v>9</v>
      </c>
      <c r="C115" s="13" t="s">
        <v>545</v>
      </c>
      <c r="D115" s="13" t="s">
        <v>54</v>
      </c>
      <c r="E115" s="12">
        <v>2015</v>
      </c>
      <c r="F115" s="12" t="s">
        <v>888</v>
      </c>
      <c r="G115" s="13" t="s">
        <v>576</v>
      </c>
      <c r="H115" s="13" t="s">
        <v>577</v>
      </c>
    </row>
    <row r="116" s="9" customFormat="1" spans="1:8">
      <c r="A116" s="12">
        <v>284</v>
      </c>
      <c r="B116" s="9" t="s">
        <v>9</v>
      </c>
      <c r="C116" s="13" t="s">
        <v>545</v>
      </c>
      <c r="D116" s="13" t="s">
        <v>11</v>
      </c>
      <c r="E116" s="12">
        <v>2017</v>
      </c>
      <c r="F116" s="12" t="s">
        <v>889</v>
      </c>
      <c r="G116" s="13" t="s">
        <v>580</v>
      </c>
      <c r="H116" s="13" t="s">
        <v>581</v>
      </c>
    </row>
    <row r="117" s="9" customFormat="1" spans="1:8">
      <c r="A117" s="12">
        <v>285</v>
      </c>
      <c r="B117" s="9" t="s">
        <v>9</v>
      </c>
      <c r="C117" s="13" t="s">
        <v>545</v>
      </c>
      <c r="D117" s="13" t="s">
        <v>11</v>
      </c>
      <c r="E117" s="12">
        <v>2012</v>
      </c>
      <c r="F117" s="12" t="s">
        <v>889</v>
      </c>
      <c r="G117" s="13" t="s">
        <v>582</v>
      </c>
      <c r="H117" s="13" t="s">
        <v>583</v>
      </c>
    </row>
    <row r="118" s="9" customFormat="1" spans="1:8">
      <c r="A118" s="12">
        <v>286</v>
      </c>
      <c r="B118" s="9" t="s">
        <v>9</v>
      </c>
      <c r="C118" s="13" t="s">
        <v>545</v>
      </c>
      <c r="D118" s="13" t="s">
        <v>11</v>
      </c>
      <c r="E118" s="12">
        <v>2017</v>
      </c>
      <c r="F118" s="12" t="s">
        <v>888</v>
      </c>
      <c r="G118" s="13" t="s">
        <v>584</v>
      </c>
      <c r="H118" s="13" t="s">
        <v>585</v>
      </c>
    </row>
    <row r="119" s="9" customFormat="1" spans="1:8">
      <c r="A119" s="12">
        <v>287</v>
      </c>
      <c r="B119" s="9" t="s">
        <v>9</v>
      </c>
      <c r="C119" s="13" t="s">
        <v>545</v>
      </c>
      <c r="D119" s="13" t="s">
        <v>11</v>
      </c>
      <c r="E119" s="12">
        <v>2011</v>
      </c>
      <c r="F119" s="12" t="s">
        <v>888</v>
      </c>
      <c r="G119" s="13" t="s">
        <v>586</v>
      </c>
      <c r="H119" s="13" t="s">
        <v>587</v>
      </c>
    </row>
    <row r="120" s="9" customFormat="1" spans="1:8">
      <c r="A120" s="12">
        <v>289</v>
      </c>
      <c r="B120" s="9" t="s">
        <v>9</v>
      </c>
      <c r="C120" s="13" t="s">
        <v>545</v>
      </c>
      <c r="D120" s="13" t="s">
        <v>11</v>
      </c>
      <c r="E120" s="12">
        <v>2015</v>
      </c>
      <c r="F120" s="12" t="s">
        <v>889</v>
      </c>
      <c r="G120" s="13" t="s">
        <v>590</v>
      </c>
      <c r="H120" s="13" t="s">
        <v>591</v>
      </c>
    </row>
    <row r="121" s="9" customFormat="1" spans="1:8">
      <c r="A121" s="12">
        <v>290</v>
      </c>
      <c r="B121" s="9" t="s">
        <v>9</v>
      </c>
      <c r="C121" s="13" t="s">
        <v>545</v>
      </c>
      <c r="D121" s="13" t="s">
        <v>11</v>
      </c>
      <c r="E121" s="12">
        <v>2019</v>
      </c>
      <c r="F121" s="12" t="s">
        <v>888</v>
      </c>
      <c r="G121" s="13" t="s">
        <v>592</v>
      </c>
      <c r="H121" s="13" t="s">
        <v>593</v>
      </c>
    </row>
    <row r="122" s="9" customFormat="1" spans="1:8">
      <c r="A122" s="12">
        <v>296</v>
      </c>
      <c r="B122" s="9" t="s">
        <v>9</v>
      </c>
      <c r="C122" s="13" t="s">
        <v>545</v>
      </c>
      <c r="D122" s="13" t="s">
        <v>121</v>
      </c>
      <c r="E122" s="12">
        <v>2021</v>
      </c>
      <c r="F122" s="12" t="s">
        <v>889</v>
      </c>
      <c r="G122" s="13" t="s">
        <v>604</v>
      </c>
      <c r="H122" s="13" t="s">
        <v>605</v>
      </c>
    </row>
    <row r="123" s="9" customFormat="1" spans="1:8">
      <c r="A123" s="12">
        <v>297</v>
      </c>
      <c r="B123" s="9" t="s">
        <v>9</v>
      </c>
      <c r="C123" s="13" t="s">
        <v>545</v>
      </c>
      <c r="D123" s="13" t="s">
        <v>606</v>
      </c>
      <c r="E123" s="12">
        <v>2015</v>
      </c>
      <c r="F123" s="12" t="s">
        <v>889</v>
      </c>
      <c r="G123" s="13" t="s">
        <v>607</v>
      </c>
      <c r="H123" s="13"/>
    </row>
    <row r="124" s="9" customFormat="1" spans="1:8">
      <c r="A124" s="12">
        <v>299</v>
      </c>
      <c r="B124" s="9" t="s">
        <v>9</v>
      </c>
      <c r="C124" s="13" t="s">
        <v>545</v>
      </c>
      <c r="D124" s="13" t="s">
        <v>11</v>
      </c>
      <c r="E124" s="12">
        <v>2016</v>
      </c>
      <c r="F124" s="12" t="s">
        <v>889</v>
      </c>
      <c r="G124" s="13" t="s">
        <v>610</v>
      </c>
      <c r="H124" s="13" t="s">
        <v>611</v>
      </c>
    </row>
    <row r="125" s="9" customFormat="1" spans="1:8">
      <c r="A125" s="12">
        <v>300</v>
      </c>
      <c r="B125" s="9" t="s">
        <v>9</v>
      </c>
      <c r="C125" s="13" t="s">
        <v>545</v>
      </c>
      <c r="D125" s="13" t="s">
        <v>11</v>
      </c>
      <c r="E125" s="12">
        <v>2024</v>
      </c>
      <c r="F125" s="12" t="s">
        <v>888</v>
      </c>
      <c r="G125" s="13" t="s">
        <v>612</v>
      </c>
      <c r="H125" s="13" t="s">
        <v>613</v>
      </c>
    </row>
    <row r="126" s="9" customFormat="1" spans="1:8">
      <c r="A126" s="12">
        <v>301</v>
      </c>
      <c r="B126" s="9" t="s">
        <v>9</v>
      </c>
      <c r="C126" s="13" t="s">
        <v>545</v>
      </c>
      <c r="D126" s="13" t="s">
        <v>11</v>
      </c>
      <c r="E126" s="12">
        <v>2014</v>
      </c>
      <c r="F126" s="12" t="s">
        <v>888</v>
      </c>
      <c r="G126" s="13" t="s">
        <v>614</v>
      </c>
      <c r="H126" s="13" t="s">
        <v>615</v>
      </c>
    </row>
    <row r="127" s="9" customFormat="1" spans="1:8">
      <c r="A127" s="12">
        <v>302</v>
      </c>
      <c r="B127" s="9" t="s">
        <v>9</v>
      </c>
      <c r="C127" s="13" t="s">
        <v>545</v>
      </c>
      <c r="D127" s="13" t="s">
        <v>11</v>
      </c>
      <c r="E127" s="12">
        <v>2015</v>
      </c>
      <c r="F127" s="12" t="s">
        <v>889</v>
      </c>
      <c r="G127" s="13" t="s">
        <v>616</v>
      </c>
      <c r="H127" s="13" t="s">
        <v>617</v>
      </c>
    </row>
    <row r="128" s="9" customFormat="1" spans="1:8">
      <c r="A128" s="12">
        <v>303</v>
      </c>
      <c r="B128" s="9" t="s">
        <v>9</v>
      </c>
      <c r="C128" s="13" t="s">
        <v>545</v>
      </c>
      <c r="D128" s="13" t="s">
        <v>121</v>
      </c>
      <c r="E128" s="12">
        <v>2015</v>
      </c>
      <c r="F128" s="12" t="s">
        <v>889</v>
      </c>
      <c r="G128" s="13" t="s">
        <v>618</v>
      </c>
      <c r="H128" s="13" t="s">
        <v>619</v>
      </c>
    </row>
    <row r="129" s="9" customFormat="1" spans="1:8">
      <c r="A129" s="12">
        <v>304</v>
      </c>
      <c r="B129" s="9" t="s">
        <v>9</v>
      </c>
      <c r="C129" s="13" t="s">
        <v>545</v>
      </c>
      <c r="D129" s="13" t="s">
        <v>11</v>
      </c>
      <c r="E129" s="12">
        <v>2012</v>
      </c>
      <c r="F129" s="12" t="s">
        <v>888</v>
      </c>
      <c r="G129" s="13" t="s">
        <v>620</v>
      </c>
      <c r="H129" s="13" t="s">
        <v>621</v>
      </c>
    </row>
    <row r="130" s="9" customFormat="1" spans="1:8">
      <c r="A130" s="12">
        <v>305</v>
      </c>
      <c r="B130" s="9" t="s">
        <v>9</v>
      </c>
      <c r="C130" s="13" t="s">
        <v>545</v>
      </c>
      <c r="D130" s="13" t="s">
        <v>54</v>
      </c>
      <c r="E130" s="12">
        <v>2023</v>
      </c>
      <c r="F130" s="12" t="s">
        <v>888</v>
      </c>
      <c r="G130" s="13" t="s">
        <v>622</v>
      </c>
      <c r="H130" s="13" t="s">
        <v>623</v>
      </c>
    </row>
    <row r="131" s="9" customFormat="1" spans="1:8">
      <c r="A131" s="12">
        <v>309</v>
      </c>
      <c r="B131" s="9" t="s">
        <v>9</v>
      </c>
      <c r="C131" s="13" t="s">
        <v>545</v>
      </c>
      <c r="D131" s="13" t="s">
        <v>11</v>
      </c>
      <c r="E131" s="12">
        <v>2019</v>
      </c>
      <c r="F131" s="12" t="s">
        <v>889</v>
      </c>
      <c r="G131" s="13" t="s">
        <v>630</v>
      </c>
      <c r="H131" s="13" t="s">
        <v>631</v>
      </c>
    </row>
    <row r="132" s="9" customFormat="1" spans="1:8">
      <c r="A132" s="12">
        <v>310</v>
      </c>
      <c r="B132" s="9" t="s">
        <v>9</v>
      </c>
      <c r="C132" s="13" t="s">
        <v>545</v>
      </c>
      <c r="D132" s="13" t="s">
        <v>11</v>
      </c>
      <c r="E132" s="12">
        <v>2011</v>
      </c>
      <c r="F132" s="12" t="s">
        <v>888</v>
      </c>
      <c r="G132" s="13" t="s">
        <v>632</v>
      </c>
      <c r="H132" s="13" t="s">
        <v>633</v>
      </c>
    </row>
    <row r="133" s="9" customFormat="1" spans="1:8">
      <c r="A133" s="12">
        <v>311</v>
      </c>
      <c r="B133" s="9" t="s">
        <v>9</v>
      </c>
      <c r="C133" s="13" t="s">
        <v>545</v>
      </c>
      <c r="D133" s="13" t="s">
        <v>11</v>
      </c>
      <c r="E133" s="12">
        <v>2020</v>
      </c>
      <c r="F133" s="12" t="s">
        <v>888</v>
      </c>
      <c r="G133" s="13" t="s">
        <v>634</v>
      </c>
      <c r="H133" s="13" t="s">
        <v>635</v>
      </c>
    </row>
    <row r="134" s="9" customFormat="1" spans="1:8">
      <c r="A134" s="12">
        <v>312</v>
      </c>
      <c r="B134" s="9" t="s">
        <v>9</v>
      </c>
      <c r="C134" s="13" t="s">
        <v>545</v>
      </c>
      <c r="D134" s="13" t="s">
        <v>11</v>
      </c>
      <c r="E134" s="12">
        <v>2019</v>
      </c>
      <c r="F134" s="12" t="s">
        <v>888</v>
      </c>
      <c r="G134" s="13" t="s">
        <v>636</v>
      </c>
      <c r="H134" s="13" t="s">
        <v>637</v>
      </c>
    </row>
    <row r="135" s="9" customFormat="1" spans="1:8">
      <c r="A135" s="12">
        <v>313</v>
      </c>
      <c r="B135" s="9" t="s">
        <v>9</v>
      </c>
      <c r="C135" s="13" t="s">
        <v>545</v>
      </c>
      <c r="D135" s="13" t="s">
        <v>121</v>
      </c>
      <c r="E135" s="12">
        <v>2010</v>
      </c>
      <c r="F135" s="12" t="s">
        <v>888</v>
      </c>
      <c r="G135" s="13" t="s">
        <v>638</v>
      </c>
      <c r="H135" s="13" t="s">
        <v>639</v>
      </c>
    </row>
    <row r="136" s="9" customFormat="1" spans="1:8">
      <c r="A136" s="12">
        <v>314</v>
      </c>
      <c r="B136" s="9" t="s">
        <v>9</v>
      </c>
      <c r="C136" s="13" t="s">
        <v>545</v>
      </c>
      <c r="D136" s="13" t="s">
        <v>11</v>
      </c>
      <c r="E136" s="12">
        <v>2011</v>
      </c>
      <c r="F136" s="12" t="s">
        <v>889</v>
      </c>
      <c r="G136" s="13" t="s">
        <v>640</v>
      </c>
      <c r="H136" s="13" t="s">
        <v>641</v>
      </c>
    </row>
    <row r="137" s="9" customFormat="1" spans="1:8">
      <c r="A137" s="12">
        <v>318</v>
      </c>
      <c r="B137" s="9" t="s">
        <v>9</v>
      </c>
      <c r="C137" s="13" t="s">
        <v>545</v>
      </c>
      <c r="D137" s="13" t="s">
        <v>11</v>
      </c>
      <c r="E137" s="12">
        <v>2016</v>
      </c>
      <c r="F137" s="12" t="s">
        <v>889</v>
      </c>
      <c r="G137" s="13" t="s">
        <v>648</v>
      </c>
      <c r="H137" s="13" t="s">
        <v>649</v>
      </c>
    </row>
    <row r="138" s="9" customFormat="1" spans="1:8">
      <c r="A138" s="12">
        <v>321</v>
      </c>
      <c r="B138" s="9" t="s">
        <v>9</v>
      </c>
      <c r="C138" s="13" t="s">
        <v>545</v>
      </c>
      <c r="D138" s="13" t="s">
        <v>11</v>
      </c>
      <c r="E138" s="12">
        <v>2010</v>
      </c>
      <c r="F138" s="12" t="s">
        <v>889</v>
      </c>
      <c r="G138" s="13" t="s">
        <v>654</v>
      </c>
      <c r="H138" s="13" t="s">
        <v>655</v>
      </c>
    </row>
    <row r="139" s="9" customFormat="1" spans="1:8">
      <c r="A139" s="12">
        <v>322</v>
      </c>
      <c r="B139" s="9" t="s">
        <v>9</v>
      </c>
      <c r="C139" s="13" t="s">
        <v>545</v>
      </c>
      <c r="D139" s="13" t="s">
        <v>11</v>
      </c>
      <c r="E139" s="12">
        <v>2021</v>
      </c>
      <c r="F139" s="12" t="s">
        <v>888</v>
      </c>
      <c r="G139" s="13" t="s">
        <v>656</v>
      </c>
      <c r="H139" s="13" t="s">
        <v>657</v>
      </c>
    </row>
    <row r="140" s="9" customFormat="1" spans="1:8">
      <c r="A140" s="12">
        <v>324</v>
      </c>
      <c r="B140" s="9" t="s">
        <v>9</v>
      </c>
      <c r="C140" s="13" t="s">
        <v>545</v>
      </c>
      <c r="D140" s="13" t="s">
        <v>11</v>
      </c>
      <c r="E140" s="12">
        <v>2013</v>
      </c>
      <c r="F140" s="12" t="s">
        <v>889</v>
      </c>
      <c r="G140" s="13" t="s">
        <v>660</v>
      </c>
      <c r="H140" s="13" t="s">
        <v>661</v>
      </c>
    </row>
    <row r="141" s="9" customFormat="1" spans="1:8">
      <c r="A141" s="12">
        <v>326</v>
      </c>
      <c r="B141" s="9" t="s">
        <v>9</v>
      </c>
      <c r="C141" s="13" t="s">
        <v>545</v>
      </c>
      <c r="D141" s="13" t="s">
        <v>11</v>
      </c>
      <c r="E141" s="12">
        <v>2015</v>
      </c>
      <c r="F141" s="12" t="s">
        <v>889</v>
      </c>
      <c r="G141" s="13" t="s">
        <v>664</v>
      </c>
      <c r="H141" s="13" t="s">
        <v>665</v>
      </c>
    </row>
    <row r="142" s="9" customFormat="1" spans="1:8">
      <c r="A142" s="12">
        <v>327</v>
      </c>
      <c r="B142" s="9" t="s">
        <v>9</v>
      </c>
      <c r="C142" s="13" t="s">
        <v>545</v>
      </c>
      <c r="D142" s="13" t="s">
        <v>121</v>
      </c>
      <c r="E142" s="12">
        <v>2014</v>
      </c>
      <c r="F142" s="12" t="s">
        <v>889</v>
      </c>
      <c r="G142" s="13" t="s">
        <v>666</v>
      </c>
      <c r="H142" s="13" t="s">
        <v>667</v>
      </c>
    </row>
    <row r="143" s="9" customFormat="1" spans="1:8">
      <c r="A143" s="12">
        <v>328</v>
      </c>
      <c r="B143" s="9" t="s">
        <v>9</v>
      </c>
      <c r="C143" s="13" t="s">
        <v>545</v>
      </c>
      <c r="D143" s="13" t="s">
        <v>11</v>
      </c>
      <c r="E143" s="12">
        <v>2012</v>
      </c>
      <c r="F143" s="12" t="s">
        <v>888</v>
      </c>
      <c r="G143" s="13" t="s">
        <v>668</v>
      </c>
      <c r="H143" s="13" t="s">
        <v>669</v>
      </c>
    </row>
    <row r="144" s="9" customFormat="1" spans="1:8">
      <c r="A144" s="12">
        <v>331</v>
      </c>
      <c r="B144" s="9" t="s">
        <v>9</v>
      </c>
      <c r="C144" s="13" t="s">
        <v>545</v>
      </c>
      <c r="D144" s="13" t="s">
        <v>54</v>
      </c>
      <c r="E144" s="12">
        <v>2017</v>
      </c>
      <c r="F144" s="12" t="s">
        <v>888</v>
      </c>
      <c r="G144" s="13" t="s">
        <v>673</v>
      </c>
      <c r="H144" s="13" t="s">
        <v>674</v>
      </c>
    </row>
    <row r="145" s="9" customFormat="1" spans="1:8">
      <c r="A145" s="12">
        <v>332</v>
      </c>
      <c r="B145" s="9" t="s">
        <v>9</v>
      </c>
      <c r="C145" s="13" t="s">
        <v>545</v>
      </c>
      <c r="D145" s="13" t="s">
        <v>11</v>
      </c>
      <c r="E145" s="12">
        <v>2016</v>
      </c>
      <c r="F145" s="12" t="s">
        <v>888</v>
      </c>
      <c r="G145" s="13" t="s">
        <v>675</v>
      </c>
      <c r="H145" s="13" t="s">
        <v>676</v>
      </c>
    </row>
    <row r="146" s="9" customFormat="1" spans="1:8">
      <c r="A146" s="12">
        <v>333</v>
      </c>
      <c r="B146" s="9" t="s">
        <v>9</v>
      </c>
      <c r="C146" s="13" t="s">
        <v>545</v>
      </c>
      <c r="D146" s="13" t="s">
        <v>11</v>
      </c>
      <c r="E146" s="12">
        <v>2017</v>
      </c>
      <c r="F146" s="12" t="s">
        <v>888</v>
      </c>
      <c r="G146" s="13" t="s">
        <v>677</v>
      </c>
      <c r="H146" s="13" t="s">
        <v>678</v>
      </c>
    </row>
    <row r="147" s="9" customFormat="1" spans="1:8">
      <c r="A147" s="12">
        <v>334</v>
      </c>
      <c r="B147" s="9" t="s">
        <v>9</v>
      </c>
      <c r="C147" s="13" t="s">
        <v>545</v>
      </c>
      <c r="D147" s="13" t="s">
        <v>11</v>
      </c>
      <c r="E147" s="12">
        <v>2011</v>
      </c>
      <c r="F147" s="12" t="s">
        <v>889</v>
      </c>
      <c r="G147" s="13" t="s">
        <v>679</v>
      </c>
      <c r="H147" s="13" t="s">
        <v>680</v>
      </c>
    </row>
    <row r="148" s="9" customFormat="1" spans="1:8">
      <c r="A148" s="12">
        <v>335</v>
      </c>
      <c r="B148" s="9" t="s">
        <v>9</v>
      </c>
      <c r="C148" s="13" t="s">
        <v>545</v>
      </c>
      <c r="D148" s="13" t="s">
        <v>54</v>
      </c>
      <c r="E148" s="12">
        <v>2013</v>
      </c>
      <c r="F148" s="12" t="s">
        <v>888</v>
      </c>
      <c r="G148" s="13" t="s">
        <v>681</v>
      </c>
      <c r="H148" s="13" t="s">
        <v>682</v>
      </c>
    </row>
    <row r="149" s="9" customFormat="1" spans="1:8">
      <c r="A149" s="12">
        <v>336</v>
      </c>
      <c r="B149" s="9" t="s">
        <v>9</v>
      </c>
      <c r="C149" s="13" t="s">
        <v>545</v>
      </c>
      <c r="D149" s="13" t="s">
        <v>11</v>
      </c>
      <c r="E149" s="12">
        <v>2010</v>
      </c>
      <c r="F149" s="12" t="s">
        <v>889</v>
      </c>
      <c r="G149" s="13" t="s">
        <v>683</v>
      </c>
      <c r="H149" s="13" t="s">
        <v>684</v>
      </c>
    </row>
    <row r="150" s="9" customFormat="1" spans="1:8">
      <c r="A150" s="12">
        <v>337</v>
      </c>
      <c r="B150" s="9" t="s">
        <v>9</v>
      </c>
      <c r="C150" s="13" t="s">
        <v>545</v>
      </c>
      <c r="D150" s="13" t="s">
        <v>11</v>
      </c>
      <c r="E150" s="12">
        <v>2020</v>
      </c>
      <c r="F150" s="12" t="s">
        <v>889</v>
      </c>
      <c r="G150" s="13" t="s">
        <v>685</v>
      </c>
      <c r="H150" s="13" t="s">
        <v>686</v>
      </c>
    </row>
    <row r="151" s="9" customFormat="1" spans="1:8">
      <c r="A151" s="12">
        <v>338</v>
      </c>
      <c r="B151" s="9" t="s">
        <v>9</v>
      </c>
      <c r="C151" s="13" t="s">
        <v>545</v>
      </c>
      <c r="D151" s="13" t="s">
        <v>121</v>
      </c>
      <c r="E151" s="12">
        <v>2010</v>
      </c>
      <c r="F151" s="12" t="s">
        <v>889</v>
      </c>
      <c r="G151" s="13" t="s">
        <v>687</v>
      </c>
      <c r="H151" s="13" t="s">
        <v>688</v>
      </c>
    </row>
    <row r="152" s="9" customFormat="1" spans="1:8">
      <c r="A152" s="12">
        <v>340</v>
      </c>
      <c r="B152" s="9" t="s">
        <v>9</v>
      </c>
      <c r="C152" s="13" t="s">
        <v>545</v>
      </c>
      <c r="D152" s="13" t="s">
        <v>11</v>
      </c>
      <c r="E152" s="12">
        <v>2017</v>
      </c>
      <c r="F152" s="12" t="s">
        <v>888</v>
      </c>
      <c r="G152" s="13" t="s">
        <v>691</v>
      </c>
      <c r="H152" s="13" t="s">
        <v>692</v>
      </c>
    </row>
    <row r="153" s="9" customFormat="1" spans="1:8">
      <c r="A153" s="12">
        <v>341</v>
      </c>
      <c r="B153" s="9" t="s">
        <v>9</v>
      </c>
      <c r="C153" s="13" t="s">
        <v>545</v>
      </c>
      <c r="D153" s="13" t="s">
        <v>11</v>
      </c>
      <c r="E153" s="12">
        <v>2018</v>
      </c>
      <c r="F153" s="12" t="s">
        <v>889</v>
      </c>
      <c r="G153" s="13" t="s">
        <v>693</v>
      </c>
      <c r="H153" s="13" t="s">
        <v>694</v>
      </c>
    </row>
    <row r="154" s="9" customFormat="1" spans="1:8">
      <c r="A154" s="12">
        <v>342</v>
      </c>
      <c r="B154" s="9" t="s">
        <v>9</v>
      </c>
      <c r="C154" s="13" t="s">
        <v>545</v>
      </c>
      <c r="D154" s="13" t="s">
        <v>11</v>
      </c>
      <c r="E154" s="12">
        <v>2024</v>
      </c>
      <c r="F154" s="12" t="s">
        <v>889</v>
      </c>
      <c r="G154" s="13" t="s">
        <v>695</v>
      </c>
      <c r="H154" s="13" t="s">
        <v>696</v>
      </c>
    </row>
    <row r="155" s="9" customFormat="1" spans="1:8">
      <c r="A155" s="12">
        <v>343</v>
      </c>
      <c r="B155" s="9" t="s">
        <v>9</v>
      </c>
      <c r="C155" s="13" t="s">
        <v>545</v>
      </c>
      <c r="D155" s="13" t="s">
        <v>11</v>
      </c>
      <c r="E155" s="12">
        <v>2014</v>
      </c>
      <c r="F155" s="12" t="s">
        <v>889</v>
      </c>
      <c r="G155" s="13" t="s">
        <v>697</v>
      </c>
      <c r="H155" s="13" t="s">
        <v>698</v>
      </c>
    </row>
    <row r="156" s="9" customFormat="1" spans="1:8">
      <c r="A156" s="12">
        <v>344</v>
      </c>
      <c r="B156" s="9" t="s">
        <v>9</v>
      </c>
      <c r="C156" s="13" t="s">
        <v>545</v>
      </c>
      <c r="D156" s="13" t="s">
        <v>54</v>
      </c>
      <c r="E156" s="12">
        <v>2020</v>
      </c>
      <c r="F156" s="12" t="s">
        <v>888</v>
      </c>
      <c r="G156" s="13" t="s">
        <v>699</v>
      </c>
      <c r="H156" s="13" t="s">
        <v>700</v>
      </c>
    </row>
    <row r="157" s="9" customFormat="1" spans="1:8">
      <c r="A157" s="12">
        <v>345</v>
      </c>
      <c r="B157" s="9" t="s">
        <v>9</v>
      </c>
      <c r="C157" s="13" t="s">
        <v>545</v>
      </c>
      <c r="D157" s="13" t="s">
        <v>54</v>
      </c>
      <c r="E157" s="12">
        <v>2010</v>
      </c>
      <c r="F157" s="12" t="s">
        <v>888</v>
      </c>
      <c r="G157" s="13" t="s">
        <v>701</v>
      </c>
      <c r="H157" s="13" t="s">
        <v>702</v>
      </c>
    </row>
    <row r="158" s="9" customFormat="1" spans="1:8">
      <c r="A158" s="12">
        <v>346</v>
      </c>
      <c r="B158" s="9" t="s">
        <v>9</v>
      </c>
      <c r="C158" s="13" t="s">
        <v>545</v>
      </c>
      <c r="D158" s="13" t="s">
        <v>54</v>
      </c>
      <c r="E158" s="12">
        <v>2022</v>
      </c>
      <c r="F158" s="12" t="s">
        <v>889</v>
      </c>
      <c r="G158" s="13" t="s">
        <v>703</v>
      </c>
      <c r="H158" s="13" t="s">
        <v>704</v>
      </c>
    </row>
    <row r="159" s="9" customFormat="1" spans="1:8">
      <c r="A159" s="12">
        <v>347</v>
      </c>
      <c r="B159" s="9" t="s">
        <v>9</v>
      </c>
      <c r="C159" s="13" t="s">
        <v>545</v>
      </c>
      <c r="D159" s="13" t="s">
        <v>54</v>
      </c>
      <c r="E159" s="12">
        <v>2022</v>
      </c>
      <c r="F159" s="12" t="s">
        <v>888</v>
      </c>
      <c r="G159" s="13" t="s">
        <v>705</v>
      </c>
      <c r="H159" s="13" t="s">
        <v>706</v>
      </c>
    </row>
    <row r="160" s="9" customFormat="1" spans="1:8">
      <c r="A160" s="12">
        <v>348</v>
      </c>
      <c r="B160" s="9" t="s">
        <v>9</v>
      </c>
      <c r="C160" s="13" t="s">
        <v>545</v>
      </c>
      <c r="D160" s="13" t="s">
        <v>11</v>
      </c>
      <c r="E160" s="12">
        <v>2012</v>
      </c>
      <c r="F160" s="12" t="s">
        <v>889</v>
      </c>
      <c r="G160" s="13" t="s">
        <v>707</v>
      </c>
      <c r="H160" s="13" t="s">
        <v>708</v>
      </c>
    </row>
    <row r="161" s="9" customFormat="1" spans="1:8">
      <c r="A161" s="12">
        <v>349</v>
      </c>
      <c r="B161" s="9" t="s">
        <v>9</v>
      </c>
      <c r="C161" s="13" t="s">
        <v>545</v>
      </c>
      <c r="D161" s="13" t="s">
        <v>121</v>
      </c>
      <c r="E161" s="12">
        <v>2010</v>
      </c>
      <c r="F161" s="12" t="s">
        <v>888</v>
      </c>
      <c r="G161" s="13" t="s">
        <v>709</v>
      </c>
      <c r="H161" s="13" t="s">
        <v>710</v>
      </c>
    </row>
    <row r="162" s="9" customFormat="1" spans="1:8">
      <c r="A162" s="12">
        <v>351</v>
      </c>
      <c r="B162" s="9" t="s">
        <v>9</v>
      </c>
      <c r="C162" s="13" t="s">
        <v>545</v>
      </c>
      <c r="D162" s="13" t="s">
        <v>54</v>
      </c>
      <c r="E162" s="12">
        <v>2024</v>
      </c>
      <c r="F162" s="12" t="s">
        <v>888</v>
      </c>
      <c r="G162" s="13" t="s">
        <v>713</v>
      </c>
      <c r="H162" s="13" t="s">
        <v>714</v>
      </c>
    </row>
    <row r="163" s="9" customFormat="1" spans="1:8">
      <c r="A163" s="12">
        <v>352</v>
      </c>
      <c r="B163" s="9" t="s">
        <v>9</v>
      </c>
      <c r="C163" s="13" t="s">
        <v>545</v>
      </c>
      <c r="D163" s="13" t="s">
        <v>11</v>
      </c>
      <c r="E163" s="12">
        <v>2012</v>
      </c>
      <c r="F163" s="12" t="s">
        <v>889</v>
      </c>
      <c r="G163" s="13" t="s">
        <v>715</v>
      </c>
      <c r="H163" s="13" t="s">
        <v>716</v>
      </c>
    </row>
    <row r="164" s="9" customFormat="1" spans="1:8">
      <c r="A164" s="12">
        <v>353</v>
      </c>
      <c r="B164" s="9" t="s">
        <v>9</v>
      </c>
      <c r="C164" s="13" t="s">
        <v>545</v>
      </c>
      <c r="D164" s="13" t="s">
        <v>54</v>
      </c>
      <c r="E164" s="12">
        <v>2021</v>
      </c>
      <c r="F164" s="12" t="s">
        <v>888</v>
      </c>
      <c r="G164" s="13" t="s">
        <v>717</v>
      </c>
      <c r="H164" s="13" t="s">
        <v>718</v>
      </c>
    </row>
    <row r="165" s="9" customFormat="1" spans="1:8">
      <c r="A165" s="12">
        <v>355</v>
      </c>
      <c r="B165" s="9" t="s">
        <v>9</v>
      </c>
      <c r="C165" s="13" t="s">
        <v>545</v>
      </c>
      <c r="D165" s="13" t="s">
        <v>54</v>
      </c>
      <c r="E165" s="12">
        <v>2014</v>
      </c>
      <c r="F165" s="12" t="s">
        <v>889</v>
      </c>
      <c r="G165" s="13" t="s">
        <v>721</v>
      </c>
      <c r="H165" s="13" t="s">
        <v>722</v>
      </c>
    </row>
    <row r="166" s="9" customFormat="1" spans="1:8">
      <c r="A166" s="12">
        <v>356</v>
      </c>
      <c r="B166" s="9" t="s">
        <v>9</v>
      </c>
      <c r="C166" s="13" t="s">
        <v>545</v>
      </c>
      <c r="D166" s="13" t="s">
        <v>54</v>
      </c>
      <c r="E166" s="12">
        <v>2015</v>
      </c>
      <c r="F166" s="12" t="s">
        <v>888</v>
      </c>
      <c r="G166" s="13" t="s">
        <v>723</v>
      </c>
      <c r="H166" s="13" t="s">
        <v>724</v>
      </c>
    </row>
    <row r="167" s="9" customFormat="1" spans="1:8">
      <c r="A167" s="12">
        <v>357</v>
      </c>
      <c r="B167" s="9" t="s">
        <v>9</v>
      </c>
      <c r="C167" s="13" t="s">
        <v>545</v>
      </c>
      <c r="D167" s="13" t="s">
        <v>121</v>
      </c>
      <c r="E167" s="12">
        <v>2016</v>
      </c>
      <c r="F167" s="12" t="s">
        <v>889</v>
      </c>
      <c r="G167" s="13" t="s">
        <v>725</v>
      </c>
      <c r="H167" s="13" t="s">
        <v>726</v>
      </c>
    </row>
    <row r="168" s="9" customFormat="1" spans="1:8">
      <c r="A168" s="12">
        <v>358</v>
      </c>
      <c r="B168" s="9" t="s">
        <v>9</v>
      </c>
      <c r="C168" s="13" t="s">
        <v>545</v>
      </c>
      <c r="D168" s="13" t="s">
        <v>54</v>
      </c>
      <c r="E168" s="12">
        <v>2012</v>
      </c>
      <c r="F168" s="12" t="s">
        <v>888</v>
      </c>
      <c r="G168" s="13" t="s">
        <v>727</v>
      </c>
      <c r="H168" s="13" t="s">
        <v>728</v>
      </c>
    </row>
    <row r="169" s="9" customFormat="1" spans="1:8">
      <c r="A169" s="12">
        <v>393</v>
      </c>
      <c r="B169" s="9" t="s">
        <v>9</v>
      </c>
      <c r="C169" s="13" t="s">
        <v>797</v>
      </c>
      <c r="D169" s="13" t="s">
        <v>11</v>
      </c>
      <c r="E169" s="12">
        <v>2011</v>
      </c>
      <c r="F169" s="12" t="s">
        <v>888</v>
      </c>
      <c r="G169" s="13" t="s">
        <v>798</v>
      </c>
      <c r="H169" s="13" t="s">
        <v>799</v>
      </c>
    </row>
    <row r="170" s="9" customFormat="1" spans="1:8">
      <c r="A170" s="12">
        <v>395</v>
      </c>
      <c r="B170" s="9" t="s">
        <v>9</v>
      </c>
      <c r="C170" s="13" t="s">
        <v>797</v>
      </c>
      <c r="D170" s="13" t="s">
        <v>11</v>
      </c>
      <c r="E170" s="12">
        <v>2010</v>
      </c>
      <c r="F170" s="12" t="s">
        <v>888</v>
      </c>
      <c r="G170" s="13" t="s">
        <v>801</v>
      </c>
      <c r="H170" s="13" t="s">
        <v>802</v>
      </c>
    </row>
    <row r="171" s="9" customFormat="1" spans="1:8">
      <c r="A171" s="12">
        <v>396</v>
      </c>
      <c r="B171" s="9" t="s">
        <v>9</v>
      </c>
      <c r="C171" s="13" t="s">
        <v>797</v>
      </c>
      <c r="D171" s="13" t="s">
        <v>11</v>
      </c>
      <c r="E171" s="12">
        <v>2014</v>
      </c>
      <c r="F171" s="12" t="s">
        <v>888</v>
      </c>
      <c r="G171" s="13" t="s">
        <v>803</v>
      </c>
      <c r="H171" s="13" t="s">
        <v>804</v>
      </c>
    </row>
    <row r="172" s="9" customFormat="1" spans="1:8">
      <c r="A172" s="12">
        <v>399</v>
      </c>
      <c r="B172" s="9" t="s">
        <v>9</v>
      </c>
      <c r="C172" s="13" t="s">
        <v>797</v>
      </c>
      <c r="D172" s="13" t="s">
        <v>11</v>
      </c>
      <c r="E172" s="12">
        <v>2021</v>
      </c>
      <c r="F172" s="12" t="s">
        <v>888</v>
      </c>
      <c r="G172" s="13" t="s">
        <v>809</v>
      </c>
      <c r="H172" s="13" t="s">
        <v>810</v>
      </c>
    </row>
    <row r="173" s="9" customFormat="1" spans="1:8">
      <c r="A173" s="12">
        <v>401</v>
      </c>
      <c r="B173" s="9" t="s">
        <v>9</v>
      </c>
      <c r="C173" s="13" t="s">
        <v>797</v>
      </c>
      <c r="D173" s="13" t="s">
        <v>54</v>
      </c>
      <c r="E173" s="12">
        <v>2019</v>
      </c>
      <c r="F173" s="12" t="s">
        <v>888</v>
      </c>
      <c r="G173" s="13" t="s">
        <v>813</v>
      </c>
      <c r="H173" s="13" t="s">
        <v>814</v>
      </c>
    </row>
    <row r="174" s="9" customFormat="1" spans="1:8">
      <c r="A174" s="12">
        <v>404</v>
      </c>
      <c r="B174" s="9" t="s">
        <v>9</v>
      </c>
      <c r="C174" s="13" t="s">
        <v>797</v>
      </c>
      <c r="D174" s="13" t="s">
        <v>11</v>
      </c>
      <c r="E174" s="12">
        <v>2012</v>
      </c>
      <c r="F174" s="12" t="s">
        <v>889</v>
      </c>
      <c r="G174" s="13" t="s">
        <v>819</v>
      </c>
      <c r="H174" s="13" t="s">
        <v>820</v>
      </c>
    </row>
    <row r="175" s="9" customFormat="1" spans="1:8">
      <c r="A175" s="12">
        <v>405</v>
      </c>
      <c r="B175" s="9" t="s">
        <v>9</v>
      </c>
      <c r="C175" s="13" t="s">
        <v>797</v>
      </c>
      <c r="D175" s="13" t="s">
        <v>54</v>
      </c>
      <c r="E175" s="12">
        <v>2015</v>
      </c>
      <c r="F175" s="12" t="s">
        <v>888</v>
      </c>
      <c r="G175" s="13" t="s">
        <v>821</v>
      </c>
      <c r="H175" s="13" t="s">
        <v>822</v>
      </c>
    </row>
    <row r="176" s="9" customFormat="1" spans="1:8">
      <c r="A176" s="12">
        <v>406</v>
      </c>
      <c r="B176" s="9" t="s">
        <v>9</v>
      </c>
      <c r="C176" s="13" t="s">
        <v>797</v>
      </c>
      <c r="D176" s="13" t="s">
        <v>54</v>
      </c>
      <c r="E176" s="12">
        <v>2012</v>
      </c>
      <c r="F176" s="12" t="s">
        <v>888</v>
      </c>
      <c r="G176" s="13" t="s">
        <v>823</v>
      </c>
      <c r="H176" s="13" t="s">
        <v>824</v>
      </c>
    </row>
    <row r="177" s="9" customFormat="1" spans="1:8">
      <c r="A177" s="12">
        <v>407</v>
      </c>
      <c r="B177" s="9" t="s">
        <v>9</v>
      </c>
      <c r="C177" s="13" t="s">
        <v>797</v>
      </c>
      <c r="D177" s="13" t="s">
        <v>11</v>
      </c>
      <c r="E177" s="12">
        <v>2017</v>
      </c>
      <c r="F177" s="12" t="s">
        <v>888</v>
      </c>
      <c r="G177" s="13" t="s">
        <v>825</v>
      </c>
      <c r="H177" s="13" t="s">
        <v>826</v>
      </c>
    </row>
    <row r="178" s="9" customFormat="1" spans="1:8">
      <c r="A178" s="12">
        <v>408</v>
      </c>
      <c r="B178" s="9" t="s">
        <v>9</v>
      </c>
      <c r="C178" s="13" t="s">
        <v>797</v>
      </c>
      <c r="D178" s="13" t="s">
        <v>11</v>
      </c>
      <c r="E178" s="12">
        <v>2017</v>
      </c>
      <c r="F178" s="12" t="s">
        <v>888</v>
      </c>
      <c r="G178" s="13" t="s">
        <v>827</v>
      </c>
      <c r="H178" s="13" t="s">
        <v>828</v>
      </c>
    </row>
    <row r="179" s="9" customFormat="1" spans="1:8">
      <c r="A179" s="12">
        <v>410</v>
      </c>
      <c r="B179" s="9" t="s">
        <v>9</v>
      </c>
      <c r="C179" s="13" t="s">
        <v>797</v>
      </c>
      <c r="D179" s="13" t="s">
        <v>11</v>
      </c>
      <c r="E179" s="12">
        <v>2020</v>
      </c>
      <c r="F179" s="12" t="s">
        <v>889</v>
      </c>
      <c r="G179" s="13" t="s">
        <v>831</v>
      </c>
      <c r="H179" s="13" t="s">
        <v>832</v>
      </c>
    </row>
    <row r="180" s="9" customFormat="1" spans="1:8">
      <c r="A180" s="12">
        <v>411</v>
      </c>
      <c r="B180" s="9" t="s">
        <v>9</v>
      </c>
      <c r="C180" s="13" t="s">
        <v>797</v>
      </c>
      <c r="D180" s="13" t="s">
        <v>11</v>
      </c>
      <c r="E180" s="12">
        <v>2017</v>
      </c>
      <c r="F180" s="12" t="s">
        <v>888</v>
      </c>
      <c r="G180" s="13" t="s">
        <v>833</v>
      </c>
      <c r="H180" s="13" t="s">
        <v>834</v>
      </c>
    </row>
    <row r="181" s="9" customFormat="1" spans="1:8">
      <c r="A181" s="12">
        <v>413</v>
      </c>
      <c r="B181" s="9" t="s">
        <v>9</v>
      </c>
      <c r="C181" s="13" t="s">
        <v>797</v>
      </c>
      <c r="D181" s="13" t="s">
        <v>11</v>
      </c>
      <c r="E181" s="12">
        <v>2011</v>
      </c>
      <c r="F181" s="12" t="s">
        <v>888</v>
      </c>
      <c r="G181" s="13" t="s">
        <v>837</v>
      </c>
      <c r="H181" s="13" t="s">
        <v>838</v>
      </c>
    </row>
    <row r="182" s="9" customFormat="1" spans="1:8">
      <c r="A182" s="12">
        <v>414</v>
      </c>
      <c r="B182" s="9" t="s">
        <v>9</v>
      </c>
      <c r="C182" s="13" t="s">
        <v>797</v>
      </c>
      <c r="D182" s="13" t="s">
        <v>54</v>
      </c>
      <c r="E182" s="12">
        <v>2014</v>
      </c>
      <c r="F182" s="12" t="s">
        <v>888</v>
      </c>
      <c r="G182" s="13" t="s">
        <v>839</v>
      </c>
      <c r="H182" s="13" t="s">
        <v>840</v>
      </c>
    </row>
    <row r="183" s="9" customFormat="1" spans="1:8">
      <c r="A183" s="12">
        <v>415</v>
      </c>
      <c r="B183" s="9" t="s">
        <v>9</v>
      </c>
      <c r="C183" s="13" t="s">
        <v>797</v>
      </c>
      <c r="D183" s="13" t="s">
        <v>11</v>
      </c>
      <c r="E183" s="12">
        <v>2013</v>
      </c>
      <c r="F183" s="12" t="s">
        <v>888</v>
      </c>
      <c r="G183" s="13" t="s">
        <v>841</v>
      </c>
      <c r="H183" s="13" t="s">
        <v>842</v>
      </c>
    </row>
    <row r="184" s="9" customFormat="1" spans="1:8">
      <c r="A184" s="12">
        <v>416</v>
      </c>
      <c r="B184" s="9" t="s">
        <v>9</v>
      </c>
      <c r="C184" s="13" t="s">
        <v>797</v>
      </c>
      <c r="D184" s="13" t="s">
        <v>11</v>
      </c>
      <c r="E184" s="12">
        <v>2021</v>
      </c>
      <c r="F184" s="12" t="s">
        <v>888</v>
      </c>
      <c r="G184" s="13" t="s">
        <v>843</v>
      </c>
      <c r="H184" s="13" t="s">
        <v>844</v>
      </c>
    </row>
    <row r="185" s="9" customFormat="1" spans="1:8">
      <c r="A185" s="12">
        <v>417</v>
      </c>
      <c r="B185" s="9" t="s">
        <v>9</v>
      </c>
      <c r="C185" s="13" t="s">
        <v>797</v>
      </c>
      <c r="D185" s="13" t="s">
        <v>121</v>
      </c>
      <c r="E185" s="12">
        <v>2023</v>
      </c>
      <c r="F185" s="12" t="s">
        <v>889</v>
      </c>
      <c r="G185" s="13" t="s">
        <v>845</v>
      </c>
      <c r="H185" s="13" t="s">
        <v>846</v>
      </c>
    </row>
    <row r="186" s="9" customFormat="1" spans="1:8">
      <c r="A186" s="12">
        <v>420</v>
      </c>
      <c r="B186" s="9" t="s">
        <v>9</v>
      </c>
      <c r="C186" s="13" t="s">
        <v>797</v>
      </c>
      <c r="D186" s="13" t="s">
        <v>54</v>
      </c>
      <c r="E186" s="12">
        <v>2018</v>
      </c>
      <c r="F186" s="12" t="s">
        <v>888</v>
      </c>
      <c r="G186" s="13" t="s">
        <v>851</v>
      </c>
      <c r="H186" s="13" t="s">
        <v>852</v>
      </c>
    </row>
    <row r="187" s="9" customFormat="1" spans="1:8">
      <c r="A187" s="12">
        <v>421</v>
      </c>
      <c r="B187" s="9" t="s">
        <v>9</v>
      </c>
      <c r="C187" s="13" t="s">
        <v>797</v>
      </c>
      <c r="D187" s="13" t="s">
        <v>11</v>
      </c>
      <c r="E187" s="12">
        <v>2015</v>
      </c>
      <c r="F187" s="12" t="s">
        <v>889</v>
      </c>
      <c r="G187" s="13" t="s">
        <v>853</v>
      </c>
      <c r="H187" s="13" t="s">
        <v>854</v>
      </c>
    </row>
    <row r="188" s="9" customFormat="1" spans="1:8">
      <c r="A188" s="12">
        <v>422</v>
      </c>
      <c r="B188" s="9" t="s">
        <v>9</v>
      </c>
      <c r="C188" s="13" t="s">
        <v>797</v>
      </c>
      <c r="D188" s="13" t="s">
        <v>11</v>
      </c>
      <c r="E188" s="12">
        <v>2021</v>
      </c>
      <c r="F188" s="12" t="s">
        <v>888</v>
      </c>
      <c r="G188" s="13" t="s">
        <v>855</v>
      </c>
      <c r="H188" s="13" t="s">
        <v>856</v>
      </c>
    </row>
    <row r="189" s="9" customFormat="1" spans="1:8">
      <c r="A189" s="12">
        <v>425</v>
      </c>
      <c r="B189" s="9" t="s">
        <v>9</v>
      </c>
      <c r="C189" s="13" t="s">
        <v>797</v>
      </c>
      <c r="D189" s="13" t="s">
        <v>11</v>
      </c>
      <c r="E189" s="12">
        <v>2016</v>
      </c>
      <c r="F189" s="12" t="s">
        <v>889</v>
      </c>
      <c r="G189" s="13" t="s">
        <v>861</v>
      </c>
      <c r="H189" s="13" t="s">
        <v>862</v>
      </c>
    </row>
    <row r="190" s="9" customFormat="1" spans="1:8">
      <c r="A190" s="12">
        <v>428</v>
      </c>
      <c r="B190" s="9" t="s">
        <v>9</v>
      </c>
      <c r="C190" s="13" t="s">
        <v>797</v>
      </c>
      <c r="D190" s="13" t="s">
        <v>11</v>
      </c>
      <c r="E190" s="12">
        <v>2018</v>
      </c>
      <c r="F190" s="12" t="s">
        <v>889</v>
      </c>
      <c r="G190" s="13" t="s">
        <v>867</v>
      </c>
      <c r="H190" s="13" t="s">
        <v>868</v>
      </c>
    </row>
    <row r="191" s="9" customFormat="1" spans="1:8">
      <c r="A191" s="12">
        <v>429</v>
      </c>
      <c r="B191" s="9" t="s">
        <v>9</v>
      </c>
      <c r="C191" s="13" t="s">
        <v>797</v>
      </c>
      <c r="D191" s="13" t="s">
        <v>11</v>
      </c>
      <c r="E191" s="12">
        <v>2016</v>
      </c>
      <c r="F191" s="12" t="s">
        <v>889</v>
      </c>
      <c r="G191" s="13" t="s">
        <v>869</v>
      </c>
      <c r="H191" s="13" t="s">
        <v>870</v>
      </c>
    </row>
    <row r="192" s="9" customFormat="1" spans="1:8">
      <c r="A192" s="12">
        <v>430</v>
      </c>
      <c r="B192" s="9" t="s">
        <v>9</v>
      </c>
      <c r="C192" s="13" t="s">
        <v>797</v>
      </c>
      <c r="D192" s="13" t="s">
        <v>11</v>
      </c>
      <c r="E192" s="12">
        <v>2020</v>
      </c>
      <c r="F192" s="12" t="s">
        <v>889</v>
      </c>
      <c r="G192" s="13" t="s">
        <v>871</v>
      </c>
      <c r="H192" s="13" t="s">
        <v>872</v>
      </c>
    </row>
    <row r="193" s="9" customFormat="1" spans="1:8">
      <c r="A193" s="12">
        <v>432</v>
      </c>
      <c r="B193" s="9" t="s">
        <v>9</v>
      </c>
      <c r="C193" s="13" t="s">
        <v>797</v>
      </c>
      <c r="D193" s="13" t="s">
        <v>54</v>
      </c>
      <c r="E193" s="12">
        <v>2017</v>
      </c>
      <c r="F193" s="12" t="s">
        <v>888</v>
      </c>
      <c r="G193" s="13" t="s">
        <v>875</v>
      </c>
      <c r="H193" s="13" t="s">
        <v>876</v>
      </c>
    </row>
    <row r="1048332" s="9" customFormat="1"/>
    <row r="1048333" s="9" customFormat="1"/>
    <row r="1048334" s="9" customFormat="1"/>
    <row r="1048335" s="9" customFormat="1"/>
    <row r="1048336" s="9" customFormat="1"/>
    <row r="1048337" s="9" customFormat="1"/>
    <row r="1048338" s="9" customFormat="1"/>
    <row r="1048339" s="9" customFormat="1"/>
    <row r="1048340" s="9" customFormat="1"/>
    <row r="1048341" s="9" customFormat="1"/>
    <row r="1048342" s="9" customFormat="1"/>
    <row r="1048343" s="9" customFormat="1"/>
    <row r="1048344" s="9" customFormat="1"/>
    <row r="1048345" s="9" customFormat="1"/>
    <row r="1048346" s="9" customFormat="1"/>
    <row r="1048347" s="9" customFormat="1"/>
    <row r="1048348" s="9" customFormat="1"/>
    <row r="1048349" s="9" customFormat="1"/>
    <row r="1048350" s="9" customFormat="1"/>
    <row r="1048351" s="9" customFormat="1"/>
    <row r="1048352" s="9" customFormat="1"/>
    <row r="1048353" s="9" customFormat="1"/>
    <row r="1048354" s="9" customFormat="1"/>
    <row r="1048355" s="9" customFormat="1"/>
    <row r="1048356" s="9" customFormat="1"/>
    <row r="1048357" s="9" customFormat="1"/>
    <row r="1048358" s="9" customFormat="1"/>
    <row r="1048359" s="9" customFormat="1"/>
    <row r="1048360" s="9" customFormat="1"/>
    <row r="1048361" s="9" customFormat="1"/>
    <row r="1048362" s="9" customFormat="1"/>
    <row r="1048363" s="9" customFormat="1"/>
    <row r="1048364" s="9" customFormat="1"/>
    <row r="1048365" s="9" customFormat="1"/>
    <row r="1048366" s="9" customFormat="1"/>
    <row r="1048367" s="9" customFormat="1"/>
    <row r="1048368" s="9" customFormat="1"/>
    <row r="1048369" s="9" customFormat="1"/>
    <row r="1048370" s="9" customFormat="1"/>
    <row r="1048371" s="9" customFormat="1"/>
    <row r="1048372" s="9" customFormat="1"/>
    <row r="1048373" s="9" customFormat="1"/>
    <row r="1048374" s="9" customFormat="1"/>
    <row r="1048375" s="9" customFormat="1"/>
    <row r="1048376" s="9" customFormat="1"/>
    <row r="1048377" s="9" customFormat="1"/>
    <row r="1048378" s="9" customFormat="1"/>
    <row r="1048379" s="9" customFormat="1"/>
    <row r="1048380" s="9" customFormat="1"/>
    <row r="1048381" s="9" customFormat="1"/>
    <row r="1048382" s="9" customFormat="1"/>
    <row r="1048383" s="9" customFormat="1"/>
    <row r="1048384" s="9" customFormat="1"/>
    <row r="1048385" s="9" customFormat="1"/>
    <row r="1048386" s="9" customFormat="1"/>
    <row r="1048387" s="9" customFormat="1"/>
    <row r="1048388" s="9" customFormat="1"/>
    <row r="1048389" s="9" customFormat="1"/>
    <row r="1048390" s="9" customFormat="1"/>
    <row r="1048391" s="9" customFormat="1"/>
    <row r="1048392" s="9" customFormat="1"/>
    <row r="1048393" s="9" customFormat="1"/>
    <row r="1048394" s="9" customFormat="1"/>
    <row r="1048395" s="9" customFormat="1"/>
    <row r="1048396" s="9" customFormat="1"/>
    <row r="1048397" s="9" customFormat="1"/>
    <row r="1048398" s="9" customFormat="1"/>
    <row r="1048399" s="9" customFormat="1"/>
    <row r="1048400" s="9" customFormat="1"/>
    <row r="1048401" s="9" customFormat="1"/>
    <row r="1048402" s="9" customFormat="1"/>
    <row r="1048403" s="9" customFormat="1"/>
    <row r="1048404" s="9" customFormat="1"/>
    <row r="1048405" s="9" customFormat="1"/>
    <row r="1048406" s="9" customFormat="1"/>
    <row r="1048407" s="9" customFormat="1"/>
    <row r="1048408" s="9" customFormat="1"/>
    <row r="1048409" s="9" customFormat="1"/>
    <row r="1048410" s="9" customFormat="1"/>
    <row r="1048411" s="9" customFormat="1"/>
    <row r="1048412" s="9" customFormat="1"/>
    <row r="1048413" s="9" customFormat="1"/>
    <row r="1048414" s="9" customFormat="1"/>
    <row r="1048415" s="9" customFormat="1"/>
    <row r="1048416" s="9" customFormat="1"/>
    <row r="1048417" s="9" customFormat="1"/>
    <row r="1048418" s="9" customFormat="1"/>
    <row r="1048419" s="9" customFormat="1"/>
    <row r="1048420" s="9" customFormat="1"/>
    <row r="1048421" s="9" customFormat="1"/>
    <row r="1048422" s="9" customFormat="1"/>
    <row r="1048423" s="9" customFormat="1"/>
    <row r="1048424" s="9" customFormat="1"/>
    <row r="1048425" s="9" customFormat="1"/>
    <row r="1048426" s="9" customFormat="1"/>
    <row r="1048427" s="9" customFormat="1"/>
    <row r="1048428" s="9" customFormat="1"/>
    <row r="1048429" s="9" customFormat="1"/>
    <row r="1048430" s="9" customFormat="1"/>
    <row r="1048431" s="9" customFormat="1"/>
    <row r="1048432" s="9" customFormat="1"/>
    <row r="1048433" s="9" customFormat="1"/>
    <row r="1048434" s="9" customFormat="1"/>
    <row r="1048435" s="9" customFormat="1"/>
    <row r="1048436" s="9" customFormat="1"/>
    <row r="1048437" s="9" customFormat="1"/>
    <row r="1048438" s="9" customFormat="1"/>
    <row r="1048439" s="9" customFormat="1"/>
    <row r="1048440" s="9" customFormat="1"/>
    <row r="1048441" s="9" customFormat="1"/>
    <row r="1048442" s="9" customFormat="1"/>
    <row r="1048443" s="9" customFormat="1"/>
    <row r="1048444" s="9" customFormat="1"/>
    <row r="1048445" s="9" customFormat="1"/>
    <row r="1048446" s="9" customFormat="1"/>
    <row r="1048447" s="9" customFormat="1"/>
    <row r="1048448" s="9" customFormat="1"/>
    <row r="1048449" s="9" customFormat="1"/>
    <row r="1048450" s="9" customFormat="1"/>
    <row r="1048451" s="9" customFormat="1"/>
    <row r="1048452" s="9" customFormat="1"/>
    <row r="1048453" s="9" customFormat="1"/>
    <row r="1048454" s="9" customFormat="1"/>
    <row r="1048455" s="9" customFormat="1"/>
    <row r="1048456" s="9" customFormat="1"/>
    <row r="1048457" s="9" customFormat="1"/>
    <row r="1048458" s="9" customFormat="1"/>
    <row r="1048459" s="9" customFormat="1"/>
    <row r="1048460" s="9" customFormat="1"/>
    <row r="1048461" s="9" customFormat="1"/>
    <row r="1048462" s="9" customFormat="1"/>
    <row r="1048463" s="9" customFormat="1"/>
    <row r="1048464" s="9" customFormat="1"/>
    <row r="1048465" s="9" customFormat="1"/>
    <row r="1048466" s="9" customFormat="1"/>
    <row r="1048467" s="9" customFormat="1"/>
    <row r="1048468" s="9" customFormat="1"/>
    <row r="1048469" s="9" customFormat="1"/>
    <row r="1048470" s="9" customFormat="1"/>
    <row r="1048471" s="9" customFormat="1"/>
    <row r="1048472" s="9" customFormat="1"/>
    <row r="1048473" s="9" customFormat="1"/>
    <row r="1048474" s="9" customFormat="1"/>
    <row r="1048475" s="9" customFormat="1"/>
    <row r="1048476" s="9" customFormat="1"/>
    <row r="1048477" s="9" customFormat="1"/>
    <row r="1048478" s="9" customFormat="1"/>
    <row r="1048479" s="9" customFormat="1"/>
    <row r="1048480" s="9" customFormat="1"/>
    <row r="1048481" s="9" customFormat="1"/>
    <row r="1048482" s="9" customFormat="1"/>
    <row r="1048483" s="9" customFormat="1"/>
    <row r="1048484" s="9" customFormat="1"/>
    <row r="1048485" s="9" customFormat="1"/>
    <row r="1048486" s="9" customFormat="1"/>
    <row r="1048487" s="9" customFormat="1"/>
    <row r="1048488" s="9" customFormat="1"/>
    <row r="1048489" s="9" customFormat="1"/>
    <row r="1048490" s="9" customFormat="1"/>
    <row r="1048491" s="9" customFormat="1"/>
    <row r="1048492" s="9" customFormat="1"/>
    <row r="1048493" s="9" customFormat="1"/>
    <row r="1048494" s="9" customFormat="1"/>
    <row r="1048495" s="9" customFormat="1"/>
    <row r="1048496" s="9" customFormat="1"/>
    <row r="1048497" s="9" customFormat="1"/>
    <row r="1048498" s="9" customFormat="1"/>
    <row r="1048499" s="9" customFormat="1"/>
    <row r="1048500" s="9" customFormat="1"/>
    <row r="1048501" s="9" customFormat="1"/>
    <row r="1048502" s="9" customFormat="1"/>
    <row r="1048503" s="9" customFormat="1"/>
    <row r="1048504" s="9" customFormat="1"/>
    <row r="1048505" s="9" customFormat="1"/>
    <row r="1048506" s="9" customFormat="1"/>
    <row r="1048507" s="9" customFormat="1"/>
    <row r="1048508" s="9" customFormat="1"/>
    <row r="1048509" s="9" customFormat="1"/>
    <row r="1048510" s="9" customFormat="1"/>
    <row r="1048511" s="9" customFormat="1"/>
    <row r="1048512" s="9" customFormat="1"/>
    <row r="1048513" s="9" customFormat="1"/>
    <row r="1048514" s="9" customFormat="1"/>
    <row r="1048515" s="9" customFormat="1"/>
    <row r="1048516" s="9" customFormat="1"/>
    <row r="1048517" s="9" customFormat="1"/>
    <row r="1048518" s="9" customFormat="1"/>
    <row r="1048519" s="9" customFormat="1"/>
    <row r="1048520" s="9" customFormat="1"/>
    <row r="1048521" s="9" customFormat="1"/>
    <row r="1048522" s="9" customFormat="1"/>
    <row r="1048523" s="9" customFormat="1"/>
    <row r="1048524" s="9" customFormat="1"/>
    <row r="1048525" s="9" customFormat="1"/>
    <row r="1048526" s="9" customFormat="1"/>
    <row r="1048527" s="9" customFormat="1"/>
    <row r="1048528" s="9" customFormat="1"/>
    <row r="1048529" s="9" customFormat="1"/>
    <row r="1048530" s="9" customFormat="1"/>
    <row r="1048531" s="9" customFormat="1"/>
    <row r="1048532" s="9" customFormat="1"/>
    <row r="1048533" s="9" customFormat="1"/>
    <row r="1048534" s="9" customFormat="1"/>
    <row r="1048535" s="9" customFormat="1"/>
    <row r="1048536" s="9" customFormat="1"/>
    <row r="1048537" s="9" customFormat="1"/>
    <row r="1048538" s="9" customFormat="1"/>
    <row r="1048539" s="9" customFormat="1"/>
    <row r="1048540" s="9" customFormat="1"/>
    <row r="1048541" s="9" customFormat="1"/>
    <row r="1048542" s="9" customFormat="1"/>
    <row r="1048543" s="9" customFormat="1"/>
    <row r="1048544" s="9" customFormat="1"/>
    <row r="1048545" s="9" customFormat="1"/>
    <row r="1048546" s="9" customFormat="1"/>
    <row r="1048547" s="9" customFormat="1"/>
    <row r="1048548" s="9" customFormat="1"/>
    <row r="1048549" s="9" customFormat="1"/>
    <row r="1048550" s="9" customFormat="1"/>
    <row r="1048551" s="9" customFormat="1"/>
    <row r="1048552" s="9" customFormat="1"/>
    <row r="1048553" s="9" customFormat="1"/>
    <row r="1048554" s="9" customFormat="1"/>
    <row r="1048555" s="9" customFormat="1"/>
    <row r="1048556" s="9" customFormat="1"/>
    <row r="1048557" s="9" customFormat="1"/>
    <row r="1048558" s="9" customFormat="1"/>
    <row r="1048559" s="9" customFormat="1"/>
    <row r="1048560" s="9" customFormat="1"/>
    <row r="1048561" s="9" customFormat="1"/>
    <row r="1048562" s="9" customFormat="1"/>
    <row r="1048563" s="9" customFormat="1"/>
    <row r="1048564" s="9" customFormat="1"/>
    <row r="1048565" s="9" customFormat="1"/>
    <row r="1048566" s="9" customFormat="1"/>
    <row r="1048567" s="9" customFormat="1"/>
    <row r="1048568" s="9" customFormat="1"/>
    <row r="1048569" s="9" customFormat="1"/>
    <row r="1048570" s="9" customFormat="1"/>
    <row r="1048571" s="9" customFormat="1"/>
    <row r="1048572" s="9" customFormat="1"/>
    <row r="1048573" s="9" customFormat="1"/>
    <row r="1048574" s="9" customFormat="1"/>
    <row r="1048575" s="9" customFormat="1"/>
    <row r="1048576" s="9" customFormat="1"/>
  </sheetData>
  <conditionalFormatting sqref="G1:G1048331">
    <cfRule type="expression" dxfId="0" priority="1">
      <formula>COUNTIF([2]final!#REF!,#REF!)&gt;0</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0"/>
  <sheetViews>
    <sheetView tabSelected="1" workbookViewId="0">
      <selection activeCell="F39" sqref="F39"/>
    </sheetView>
  </sheetViews>
  <sheetFormatPr defaultColWidth="8.72727272727273" defaultRowHeight="14"/>
  <cols>
    <col min="1" max="7" width="8.72727272727273" style="9"/>
    <col min="8" max="8" width="26.1818181818182" style="9" customWidth="1"/>
    <col min="9" max="12" width="8.72727272727273" style="9"/>
    <col min="13" max="13" width="21.7272727272727" style="9" customWidth="1"/>
    <col min="14" max="14" width="12.1818181818182" style="9" customWidth="1"/>
    <col min="15" max="16384" width="8.72727272727273" style="9"/>
  </cols>
  <sheetData>
    <row r="1" spans="1:18">
      <c r="A1" s="10" t="s">
        <v>890</v>
      </c>
      <c r="B1" s="10" t="s">
        <v>0</v>
      </c>
      <c r="C1" s="11" t="s">
        <v>891</v>
      </c>
      <c r="D1" s="10" t="s">
        <v>3</v>
      </c>
      <c r="E1" s="11" t="s">
        <v>4</v>
      </c>
      <c r="F1" s="11" t="s">
        <v>892</v>
      </c>
      <c r="G1" s="10" t="s">
        <v>893</v>
      </c>
      <c r="H1" s="10" t="s">
        <v>7</v>
      </c>
      <c r="I1" s="10" t="s">
        <v>8</v>
      </c>
      <c r="J1" s="10" t="s">
        <v>894</v>
      </c>
      <c r="K1" s="10" t="s">
        <v>895</v>
      </c>
      <c r="L1" s="10" t="s">
        <v>896</v>
      </c>
      <c r="M1" s="10" t="s">
        <v>897</v>
      </c>
      <c r="N1" s="10" t="s">
        <v>898</v>
      </c>
      <c r="O1" s="10" t="s">
        <v>899</v>
      </c>
      <c r="P1" s="10" t="s">
        <v>900</v>
      </c>
      <c r="Q1" s="10" t="s">
        <v>901</v>
      </c>
      <c r="R1" s="10" t="s">
        <v>902</v>
      </c>
    </row>
    <row r="2" spans="1:18">
      <c r="A2" s="9" t="s">
        <v>903</v>
      </c>
      <c r="B2" s="13">
        <v>1</v>
      </c>
      <c r="C2" s="12" t="s">
        <v>904</v>
      </c>
      <c r="D2" s="13" t="s">
        <v>11</v>
      </c>
      <c r="E2" s="12">
        <v>2010</v>
      </c>
      <c r="F2" s="12">
        <v>18</v>
      </c>
      <c r="G2" s="13" t="s">
        <v>905</v>
      </c>
      <c r="H2" s="13" t="s">
        <v>14</v>
      </c>
      <c r="I2" s="13" t="s">
        <v>15</v>
      </c>
      <c r="J2" s="13" t="s">
        <v>906</v>
      </c>
      <c r="K2" s="13" t="s">
        <v>907</v>
      </c>
      <c r="L2" s="13" t="s">
        <v>908</v>
      </c>
      <c r="M2" s="13" t="s">
        <v>909</v>
      </c>
      <c r="N2" s="13" t="s">
        <v>910</v>
      </c>
      <c r="O2" s="13" t="s">
        <v>911</v>
      </c>
      <c r="P2" s="13" t="s">
        <v>912</v>
      </c>
      <c r="Q2" s="13" t="s">
        <v>913</v>
      </c>
      <c r="R2" s="13" t="s">
        <v>15</v>
      </c>
    </row>
    <row r="3" spans="1:18">
      <c r="A3" s="9" t="s">
        <v>914</v>
      </c>
      <c r="B3" s="13">
        <v>2</v>
      </c>
      <c r="C3" s="12" t="s">
        <v>904</v>
      </c>
      <c r="D3" s="13" t="s">
        <v>11</v>
      </c>
      <c r="E3" s="12">
        <v>2010</v>
      </c>
      <c r="F3" s="12">
        <v>70</v>
      </c>
      <c r="G3" s="13" t="s">
        <v>905</v>
      </c>
      <c r="H3" s="13" t="s">
        <v>283</v>
      </c>
      <c r="I3" s="13" t="s">
        <v>284</v>
      </c>
      <c r="J3" s="13" t="s">
        <v>906</v>
      </c>
      <c r="K3" s="13" t="s">
        <v>915</v>
      </c>
      <c r="L3" s="13" t="s">
        <v>916</v>
      </c>
      <c r="M3" s="13" t="s">
        <v>909</v>
      </c>
      <c r="N3" s="13" t="s">
        <v>917</v>
      </c>
      <c r="O3" s="13" t="s">
        <v>918</v>
      </c>
      <c r="P3" s="13" t="s">
        <v>919</v>
      </c>
      <c r="Q3" s="13" t="s">
        <v>920</v>
      </c>
      <c r="R3" s="13" t="s">
        <v>284</v>
      </c>
    </row>
    <row r="4" s="9" customFormat="1" spans="1:18">
      <c r="A4" s="9" t="s">
        <v>921</v>
      </c>
      <c r="B4" s="13">
        <v>3</v>
      </c>
      <c r="C4" s="12" t="s">
        <v>904</v>
      </c>
      <c r="D4" s="13" t="s">
        <v>54</v>
      </c>
      <c r="E4" s="12">
        <v>2010</v>
      </c>
      <c r="F4" s="12">
        <v>339</v>
      </c>
      <c r="G4" s="13" t="s">
        <v>922</v>
      </c>
      <c r="H4" s="13" t="s">
        <v>701</v>
      </c>
      <c r="I4" s="13" t="s">
        <v>702</v>
      </c>
      <c r="J4" s="13" t="s">
        <v>923</v>
      </c>
      <c r="K4" s="13" t="s">
        <v>924</v>
      </c>
      <c r="L4" s="13" t="s">
        <v>925</v>
      </c>
      <c r="M4" s="13" t="s">
        <v>926</v>
      </c>
      <c r="N4" s="13" t="s">
        <v>927</v>
      </c>
      <c r="O4" s="13" t="s">
        <v>928</v>
      </c>
      <c r="P4" s="13" t="s">
        <v>929</v>
      </c>
      <c r="Q4" s="13" t="s">
        <v>930</v>
      </c>
      <c r="R4" s="13" t="s">
        <v>702</v>
      </c>
    </row>
    <row r="5" spans="1:18">
      <c r="A5" s="9" t="s">
        <v>931</v>
      </c>
      <c r="B5" s="13">
        <v>4</v>
      </c>
      <c r="C5" s="12" t="s">
        <v>904</v>
      </c>
      <c r="D5" s="13" t="s">
        <v>11</v>
      </c>
      <c r="E5" s="12">
        <v>2010</v>
      </c>
      <c r="F5" s="12">
        <v>58</v>
      </c>
      <c r="G5" s="13" t="s">
        <v>932</v>
      </c>
      <c r="H5" s="13" t="s">
        <v>297</v>
      </c>
      <c r="I5" s="13" t="s">
        <v>298</v>
      </c>
      <c r="J5" s="13" t="s">
        <v>923</v>
      </c>
      <c r="K5" s="13" t="s">
        <v>933</v>
      </c>
      <c r="L5" s="13" t="s">
        <v>934</v>
      </c>
      <c r="M5" s="13" t="s">
        <v>935</v>
      </c>
      <c r="N5" s="13" t="s">
        <v>936</v>
      </c>
      <c r="O5" s="13" t="s">
        <v>937</v>
      </c>
      <c r="P5" s="13" t="s">
        <v>938</v>
      </c>
      <c r="Q5" s="13" t="s">
        <v>939</v>
      </c>
      <c r="R5" s="13" t="s">
        <v>298</v>
      </c>
    </row>
    <row r="6" spans="1:18">
      <c r="A6" s="9" t="s">
        <v>940</v>
      </c>
      <c r="B6" s="13">
        <v>5</v>
      </c>
      <c r="C6" s="12" t="s">
        <v>904</v>
      </c>
      <c r="D6" s="13" t="s">
        <v>941</v>
      </c>
      <c r="E6" s="12">
        <v>2010</v>
      </c>
      <c r="F6" s="12">
        <v>61</v>
      </c>
      <c r="G6" s="13" t="s">
        <v>942</v>
      </c>
      <c r="H6" s="13" t="s">
        <v>66</v>
      </c>
      <c r="I6" s="13" t="s">
        <v>67</v>
      </c>
      <c r="J6" s="13" t="s">
        <v>906</v>
      </c>
      <c r="K6" s="13" t="s">
        <v>943</v>
      </c>
      <c r="L6" s="13" t="s">
        <v>944</v>
      </c>
      <c r="M6" s="13" t="s">
        <v>935</v>
      </c>
      <c r="N6" s="13" t="s">
        <v>945</v>
      </c>
      <c r="O6" s="13" t="s">
        <v>946</v>
      </c>
      <c r="P6" s="13" t="s">
        <v>912</v>
      </c>
      <c r="Q6" s="13" t="s">
        <v>947</v>
      </c>
      <c r="R6" s="13" t="s">
        <v>67</v>
      </c>
    </row>
    <row r="7" spans="1:18">
      <c r="A7" s="9" t="s">
        <v>948</v>
      </c>
      <c r="B7" s="13">
        <v>6</v>
      </c>
      <c r="C7" s="12" t="s">
        <v>904</v>
      </c>
      <c r="D7" s="13" t="s">
        <v>11</v>
      </c>
      <c r="E7" s="12">
        <v>2010</v>
      </c>
      <c r="F7" s="12">
        <v>28</v>
      </c>
      <c r="G7" s="13" t="s">
        <v>949</v>
      </c>
      <c r="H7" s="13" t="s">
        <v>80</v>
      </c>
      <c r="I7" s="13" t="s">
        <v>81</v>
      </c>
      <c r="J7" s="13" t="s">
        <v>906</v>
      </c>
      <c r="K7" s="13" t="s">
        <v>950</v>
      </c>
      <c r="L7" s="13" t="s">
        <v>951</v>
      </c>
      <c r="M7" s="13" t="s">
        <v>935</v>
      </c>
      <c r="N7" s="13" t="s">
        <v>952</v>
      </c>
      <c r="O7" s="13" t="s">
        <v>953</v>
      </c>
      <c r="P7" s="13"/>
      <c r="Q7" s="13" t="s">
        <v>954</v>
      </c>
      <c r="R7" s="13" t="s">
        <v>81</v>
      </c>
    </row>
    <row r="8" spans="1:18">
      <c r="A8" s="9" t="s">
        <v>955</v>
      </c>
      <c r="B8" s="13">
        <v>7</v>
      </c>
      <c r="C8" s="12" t="s">
        <v>904</v>
      </c>
      <c r="D8" s="13" t="s">
        <v>11</v>
      </c>
      <c r="E8" s="12">
        <v>2010</v>
      </c>
      <c r="F8" s="12">
        <v>321</v>
      </c>
      <c r="G8" s="13" t="s">
        <v>956</v>
      </c>
      <c r="H8" s="13" t="s">
        <v>124</v>
      </c>
      <c r="I8" s="13" t="s">
        <v>125</v>
      </c>
      <c r="J8" s="13" t="s">
        <v>906</v>
      </c>
      <c r="K8" s="13" t="s">
        <v>957</v>
      </c>
      <c r="L8" s="13" t="s">
        <v>958</v>
      </c>
      <c r="M8" s="13" t="s">
        <v>909</v>
      </c>
      <c r="N8" s="13"/>
      <c r="O8" s="13" t="s">
        <v>959</v>
      </c>
      <c r="P8" s="13" t="s">
        <v>960</v>
      </c>
      <c r="Q8" s="13" t="s">
        <v>961</v>
      </c>
      <c r="R8" s="13" t="s">
        <v>125</v>
      </c>
    </row>
    <row r="9" spans="1:18">
      <c r="A9" s="9" t="s">
        <v>962</v>
      </c>
      <c r="B9" s="13">
        <v>31</v>
      </c>
      <c r="C9" s="12" t="s">
        <v>963</v>
      </c>
      <c r="D9" s="13" t="s">
        <v>121</v>
      </c>
      <c r="E9" s="12">
        <v>2010</v>
      </c>
      <c r="F9" s="12">
        <v>30</v>
      </c>
      <c r="G9" s="13" t="s">
        <v>964</v>
      </c>
      <c r="H9" s="13" t="s">
        <v>638</v>
      </c>
      <c r="I9" s="13" t="s">
        <v>639</v>
      </c>
      <c r="J9" s="13" t="s">
        <v>923</v>
      </c>
      <c r="K9" s="13" t="s">
        <v>965</v>
      </c>
      <c r="L9" s="13" t="s">
        <v>966</v>
      </c>
      <c r="M9" s="13" t="s">
        <v>926</v>
      </c>
      <c r="N9" s="13" t="s">
        <v>967</v>
      </c>
      <c r="O9" s="13" t="s">
        <v>968</v>
      </c>
      <c r="P9" s="9" t="s">
        <v>969</v>
      </c>
      <c r="Q9" s="13" t="s">
        <v>970</v>
      </c>
      <c r="R9" s="13" t="s">
        <v>639</v>
      </c>
    </row>
    <row r="10" spans="1:18">
      <c r="A10" s="9" t="s">
        <v>971</v>
      </c>
      <c r="B10" s="13">
        <v>32</v>
      </c>
      <c r="C10" s="12" t="s">
        <v>963</v>
      </c>
      <c r="D10" s="13" t="s">
        <v>54</v>
      </c>
      <c r="E10" s="12">
        <v>2010</v>
      </c>
      <c r="F10" s="12">
        <v>20</v>
      </c>
      <c r="G10" s="13" t="s">
        <v>972</v>
      </c>
      <c r="H10" s="13" t="s">
        <v>314</v>
      </c>
      <c r="I10" s="13" t="s">
        <v>315</v>
      </c>
      <c r="J10" s="13" t="s">
        <v>973</v>
      </c>
      <c r="K10" s="13" t="s">
        <v>974</v>
      </c>
      <c r="L10" s="13" t="s">
        <v>975</v>
      </c>
      <c r="M10" s="13" t="s">
        <v>976</v>
      </c>
      <c r="N10" s="13" t="s">
        <v>977</v>
      </c>
      <c r="O10" s="13" t="s">
        <v>978</v>
      </c>
      <c r="P10" s="13"/>
      <c r="Q10" s="13" t="s">
        <v>979</v>
      </c>
      <c r="R10" s="13" t="s">
        <v>315</v>
      </c>
    </row>
    <row r="11" spans="1:18">
      <c r="A11" s="9" t="s">
        <v>980</v>
      </c>
      <c r="B11" s="13">
        <v>33</v>
      </c>
      <c r="C11" s="12" t="s">
        <v>963</v>
      </c>
      <c r="D11" s="13" t="s">
        <v>11</v>
      </c>
      <c r="E11" s="12">
        <v>2010</v>
      </c>
      <c r="F11" s="12">
        <v>16</v>
      </c>
      <c r="G11" s="13" t="s">
        <v>932</v>
      </c>
      <c r="H11" s="13" t="s">
        <v>91</v>
      </c>
      <c r="I11" s="13" t="s">
        <v>92</v>
      </c>
      <c r="J11" s="13" t="s">
        <v>906</v>
      </c>
      <c r="K11" s="13" t="s">
        <v>950</v>
      </c>
      <c r="L11" s="13" t="s">
        <v>981</v>
      </c>
      <c r="M11" s="13" t="s">
        <v>926</v>
      </c>
      <c r="N11" s="13" t="s">
        <v>982</v>
      </c>
      <c r="O11" s="13" t="s">
        <v>983</v>
      </c>
      <c r="P11" s="13"/>
      <c r="Q11" s="13" t="s">
        <v>984</v>
      </c>
      <c r="R11" s="13" t="s">
        <v>92</v>
      </c>
    </row>
    <row r="12" spans="1:18">
      <c r="A12" s="9" t="s">
        <v>985</v>
      </c>
      <c r="B12" s="13">
        <v>89</v>
      </c>
      <c r="C12" s="12" t="s">
        <v>986</v>
      </c>
      <c r="D12" s="13" t="s">
        <v>11</v>
      </c>
      <c r="E12" s="12">
        <v>2010</v>
      </c>
      <c r="F12" s="12">
        <v>14</v>
      </c>
      <c r="G12" s="13" t="s">
        <v>987</v>
      </c>
      <c r="H12" s="13" t="s">
        <v>566</v>
      </c>
      <c r="I12" s="13" t="s">
        <v>567</v>
      </c>
      <c r="J12" s="13" t="s">
        <v>923</v>
      </c>
      <c r="K12" s="13" t="s">
        <v>988</v>
      </c>
      <c r="L12" s="13" t="s">
        <v>989</v>
      </c>
      <c r="M12" s="13" t="s">
        <v>935</v>
      </c>
      <c r="N12" s="13" t="s">
        <v>990</v>
      </c>
      <c r="O12" s="13" t="s">
        <v>959</v>
      </c>
      <c r="P12" s="13" t="s">
        <v>991</v>
      </c>
      <c r="Q12" s="13" t="s">
        <v>992</v>
      </c>
      <c r="R12" s="13" t="s">
        <v>567</v>
      </c>
    </row>
    <row r="13" spans="1:18">
      <c r="A13" s="9" t="s">
        <v>993</v>
      </c>
      <c r="B13" s="13">
        <v>90</v>
      </c>
      <c r="C13" s="12" t="s">
        <v>986</v>
      </c>
      <c r="D13" s="13" t="s">
        <v>11</v>
      </c>
      <c r="E13" s="12">
        <v>2010</v>
      </c>
      <c r="F13" s="12">
        <v>40</v>
      </c>
      <c r="G13" s="13" t="s">
        <v>942</v>
      </c>
      <c r="H13" s="13" t="s">
        <v>801</v>
      </c>
      <c r="I13" s="13" t="s">
        <v>802</v>
      </c>
      <c r="J13" s="13" t="s">
        <v>906</v>
      </c>
      <c r="K13" s="13" t="s">
        <v>950</v>
      </c>
      <c r="L13" s="13" t="s">
        <v>994</v>
      </c>
      <c r="M13" s="13" t="s">
        <v>976</v>
      </c>
      <c r="N13" s="13" t="s">
        <v>995</v>
      </c>
      <c r="O13" s="13" t="s">
        <v>978</v>
      </c>
      <c r="P13" s="13" t="s">
        <v>996</v>
      </c>
      <c r="Q13" s="13" t="s">
        <v>997</v>
      </c>
      <c r="R13" s="13" t="s">
        <v>802</v>
      </c>
    </row>
    <row r="14" spans="1:18">
      <c r="A14" s="9" t="s">
        <v>998</v>
      </c>
      <c r="B14" s="13">
        <v>100</v>
      </c>
      <c r="C14" s="12" t="s">
        <v>999</v>
      </c>
      <c r="D14" s="13" t="s">
        <v>121</v>
      </c>
      <c r="E14" s="12">
        <v>2010</v>
      </c>
      <c r="F14" s="12">
        <v>49</v>
      </c>
      <c r="G14" s="13" t="s">
        <v>1000</v>
      </c>
      <c r="H14" s="13" t="s">
        <v>709</v>
      </c>
      <c r="I14" s="13" t="s">
        <v>710</v>
      </c>
      <c r="J14" s="13" t="s">
        <v>923</v>
      </c>
      <c r="K14" s="13" t="s">
        <v>965</v>
      </c>
      <c r="L14" s="13" t="s">
        <v>1001</v>
      </c>
      <c r="M14" s="13" t="s">
        <v>1002</v>
      </c>
      <c r="N14" s="13" t="s">
        <v>1003</v>
      </c>
      <c r="O14" s="13" t="s">
        <v>1004</v>
      </c>
      <c r="P14" s="13"/>
      <c r="Q14" s="13" t="s">
        <v>1005</v>
      </c>
      <c r="R14" s="13" t="s">
        <v>710</v>
      </c>
    </row>
    <row r="15" spans="1:18">
      <c r="A15" s="9" t="s">
        <v>1006</v>
      </c>
      <c r="B15" s="13">
        <v>8</v>
      </c>
      <c r="C15" s="12" t="s">
        <v>904</v>
      </c>
      <c r="D15" s="13" t="s">
        <v>11</v>
      </c>
      <c r="E15" s="12">
        <v>2011</v>
      </c>
      <c r="F15" s="12">
        <v>21</v>
      </c>
      <c r="G15" s="13" t="s">
        <v>942</v>
      </c>
      <c r="H15" s="13" t="s">
        <v>171</v>
      </c>
      <c r="I15" s="13" t="s">
        <v>172</v>
      </c>
      <c r="J15" s="13" t="s">
        <v>1007</v>
      </c>
      <c r="K15" s="13" t="s">
        <v>1008</v>
      </c>
      <c r="L15" s="13" t="s">
        <v>1009</v>
      </c>
      <c r="M15" s="13" t="s">
        <v>926</v>
      </c>
      <c r="N15" s="13" t="s">
        <v>1010</v>
      </c>
      <c r="O15" s="13" t="s">
        <v>1011</v>
      </c>
      <c r="P15" s="13" t="s">
        <v>1012</v>
      </c>
      <c r="Q15" s="13" t="s">
        <v>1013</v>
      </c>
      <c r="R15" s="13" t="s">
        <v>172</v>
      </c>
    </row>
    <row r="16" spans="1:18">
      <c r="A16" s="9" t="s">
        <v>1014</v>
      </c>
      <c r="B16" s="13">
        <v>34</v>
      </c>
      <c r="C16" s="12" t="s">
        <v>963</v>
      </c>
      <c r="D16" s="13" t="s">
        <v>11</v>
      </c>
      <c r="E16" s="12">
        <v>2011</v>
      </c>
      <c r="F16" s="12">
        <v>31</v>
      </c>
      <c r="G16" s="13" t="s">
        <v>1015</v>
      </c>
      <c r="H16" s="13" t="s">
        <v>586</v>
      </c>
      <c r="I16" s="13" t="s">
        <v>587</v>
      </c>
      <c r="J16" s="13" t="s">
        <v>923</v>
      </c>
      <c r="K16" s="13" t="s">
        <v>1016</v>
      </c>
      <c r="L16" s="13" t="s">
        <v>1017</v>
      </c>
      <c r="M16" s="13" t="s">
        <v>926</v>
      </c>
      <c r="N16" s="13" t="s">
        <v>1018</v>
      </c>
      <c r="O16" s="13" t="s">
        <v>1019</v>
      </c>
      <c r="P16" s="13"/>
      <c r="Q16" s="13" t="s">
        <v>1020</v>
      </c>
      <c r="R16" s="13" t="s">
        <v>587</v>
      </c>
    </row>
    <row r="17" spans="1:18">
      <c r="A17" s="9" t="s">
        <v>1021</v>
      </c>
      <c r="B17" s="13">
        <v>35</v>
      </c>
      <c r="C17" s="12" t="s">
        <v>963</v>
      </c>
      <c r="D17" s="13" t="s">
        <v>11</v>
      </c>
      <c r="E17" s="12">
        <v>2011</v>
      </c>
      <c r="F17" s="12">
        <v>18</v>
      </c>
      <c r="G17" s="13" t="s">
        <v>949</v>
      </c>
      <c r="H17" s="13" t="s">
        <v>632</v>
      </c>
      <c r="I17" s="13" t="s">
        <v>633</v>
      </c>
      <c r="J17" s="13" t="s">
        <v>923</v>
      </c>
      <c r="K17" s="13" t="s">
        <v>1022</v>
      </c>
      <c r="L17" s="13" t="s">
        <v>1023</v>
      </c>
      <c r="M17" s="13" t="s">
        <v>926</v>
      </c>
      <c r="N17" s="13" t="s">
        <v>1024</v>
      </c>
      <c r="O17" s="13" t="s">
        <v>953</v>
      </c>
      <c r="P17" s="13"/>
      <c r="Q17" s="13" t="s">
        <v>1025</v>
      </c>
      <c r="R17" s="13" t="s">
        <v>633</v>
      </c>
    </row>
    <row r="18" spans="1:18">
      <c r="A18" s="9" t="s">
        <v>1026</v>
      </c>
      <c r="B18" s="13">
        <v>36</v>
      </c>
      <c r="C18" s="12" t="s">
        <v>963</v>
      </c>
      <c r="D18" s="13" t="s">
        <v>54</v>
      </c>
      <c r="E18" s="12">
        <v>2011</v>
      </c>
      <c r="F18" s="12">
        <v>81</v>
      </c>
      <c r="G18" s="13" t="s">
        <v>1027</v>
      </c>
      <c r="H18" s="13" t="s">
        <v>320</v>
      </c>
      <c r="I18" s="13" t="s">
        <v>321</v>
      </c>
      <c r="J18" s="13" t="s">
        <v>973</v>
      </c>
      <c r="K18" s="13" t="s">
        <v>1028</v>
      </c>
      <c r="L18" s="13" t="s">
        <v>1029</v>
      </c>
      <c r="M18" s="13" t="s">
        <v>976</v>
      </c>
      <c r="N18" s="13" t="s">
        <v>910</v>
      </c>
      <c r="O18" s="13" t="s">
        <v>978</v>
      </c>
      <c r="P18" s="13" t="s">
        <v>969</v>
      </c>
      <c r="Q18" s="13" t="s">
        <v>1030</v>
      </c>
      <c r="R18" s="13" t="s">
        <v>321</v>
      </c>
    </row>
    <row r="19" spans="1:18">
      <c r="A19" s="9" t="s">
        <v>1031</v>
      </c>
      <c r="B19" s="13">
        <v>37</v>
      </c>
      <c r="C19" s="12" t="s">
        <v>963</v>
      </c>
      <c r="D19" s="13" t="s">
        <v>941</v>
      </c>
      <c r="E19" s="12">
        <v>2011</v>
      </c>
      <c r="F19" s="12">
        <v>13</v>
      </c>
      <c r="G19" s="13" t="s">
        <v>1032</v>
      </c>
      <c r="H19" s="13" t="s">
        <v>109</v>
      </c>
      <c r="I19" s="13" t="s">
        <v>110</v>
      </c>
      <c r="J19" s="13" t="s">
        <v>906</v>
      </c>
      <c r="K19" s="13" t="s">
        <v>1033</v>
      </c>
      <c r="L19" s="13" t="s">
        <v>1034</v>
      </c>
      <c r="M19" s="13" t="s">
        <v>926</v>
      </c>
      <c r="N19" s="13" t="s">
        <v>1035</v>
      </c>
      <c r="O19" s="13" t="s">
        <v>1036</v>
      </c>
      <c r="P19" s="13" t="s">
        <v>969</v>
      </c>
      <c r="Q19" s="13" t="s">
        <v>1037</v>
      </c>
      <c r="R19" s="13" t="s">
        <v>110</v>
      </c>
    </row>
    <row r="20" spans="1:18">
      <c r="A20" s="9" t="s">
        <v>1038</v>
      </c>
      <c r="B20" s="13">
        <v>38</v>
      </c>
      <c r="C20" s="12" t="s">
        <v>963</v>
      </c>
      <c r="D20" s="13" t="s">
        <v>941</v>
      </c>
      <c r="E20" s="12">
        <v>2011</v>
      </c>
      <c r="F20" s="12">
        <v>13</v>
      </c>
      <c r="G20" s="13" t="s">
        <v>942</v>
      </c>
      <c r="H20" s="13" t="s">
        <v>837</v>
      </c>
      <c r="I20" s="13" t="s">
        <v>838</v>
      </c>
      <c r="J20" s="13" t="s">
        <v>906</v>
      </c>
      <c r="K20" s="13" t="s">
        <v>1039</v>
      </c>
      <c r="L20" s="13" t="s">
        <v>1040</v>
      </c>
      <c r="M20" s="13" t="s">
        <v>909</v>
      </c>
      <c r="N20" s="13" t="s">
        <v>1041</v>
      </c>
      <c r="O20" s="13" t="s">
        <v>1042</v>
      </c>
      <c r="P20" s="13" t="s">
        <v>1012</v>
      </c>
      <c r="Q20" s="13" t="s">
        <v>1043</v>
      </c>
      <c r="R20" s="13" t="s">
        <v>838</v>
      </c>
    </row>
    <row r="21" spans="1:18">
      <c r="A21" s="9" t="s">
        <v>1044</v>
      </c>
      <c r="B21" s="16">
        <v>101</v>
      </c>
      <c r="C21" s="15" t="s">
        <v>963</v>
      </c>
      <c r="D21" s="13" t="s">
        <v>941</v>
      </c>
      <c r="E21" s="15">
        <v>2011</v>
      </c>
      <c r="F21" s="15">
        <v>42</v>
      </c>
      <c r="G21" s="16" t="s">
        <v>1045</v>
      </c>
      <c r="H21" s="16" t="s">
        <v>798</v>
      </c>
      <c r="I21" s="16" t="s">
        <v>799</v>
      </c>
      <c r="J21" s="13" t="s">
        <v>906</v>
      </c>
      <c r="K21" s="16" t="s">
        <v>1046</v>
      </c>
      <c r="L21" s="16" t="s">
        <v>1047</v>
      </c>
      <c r="M21" s="16" t="s">
        <v>1048</v>
      </c>
      <c r="N21" s="16" t="s">
        <v>1049</v>
      </c>
      <c r="O21" s="16" t="s">
        <v>1050</v>
      </c>
      <c r="P21" s="16" t="s">
        <v>969</v>
      </c>
      <c r="Q21" s="16" t="s">
        <v>1051</v>
      </c>
      <c r="R21" s="16" t="s">
        <v>799</v>
      </c>
    </row>
    <row r="22" s="9" customFormat="1" spans="1:18">
      <c r="A22" s="9" t="s">
        <v>1052</v>
      </c>
      <c r="B22" s="13">
        <v>102</v>
      </c>
      <c r="C22" s="12" t="s">
        <v>999</v>
      </c>
      <c r="D22" s="13" t="s">
        <v>54</v>
      </c>
      <c r="E22" s="12">
        <v>2011</v>
      </c>
      <c r="F22" s="12">
        <v>95</v>
      </c>
      <c r="G22" s="13" t="s">
        <v>1032</v>
      </c>
      <c r="H22" s="13" t="s">
        <v>342</v>
      </c>
      <c r="I22" s="13" t="s">
        <v>343</v>
      </c>
      <c r="J22" s="13" t="s">
        <v>973</v>
      </c>
      <c r="K22" s="13" t="s">
        <v>1053</v>
      </c>
      <c r="L22" s="13" t="s">
        <v>1054</v>
      </c>
      <c r="M22" s="13" t="s">
        <v>1002</v>
      </c>
      <c r="N22" s="13"/>
      <c r="O22" s="13" t="s">
        <v>1004</v>
      </c>
      <c r="P22" s="13"/>
      <c r="Q22" s="13" t="s">
        <v>1055</v>
      </c>
      <c r="R22" s="13" t="s">
        <v>343</v>
      </c>
    </row>
    <row r="23" spans="1:18">
      <c r="A23" s="9" t="s">
        <v>1056</v>
      </c>
      <c r="B23" s="13">
        <v>9</v>
      </c>
      <c r="C23" s="12" t="s">
        <v>904</v>
      </c>
      <c r="D23" s="13" t="s">
        <v>11</v>
      </c>
      <c r="E23" s="12">
        <v>2012</v>
      </c>
      <c r="F23" s="12">
        <v>50</v>
      </c>
      <c r="G23" s="13" t="s">
        <v>922</v>
      </c>
      <c r="H23" s="13" t="s">
        <v>668</v>
      </c>
      <c r="I23" s="13" t="s">
        <v>669</v>
      </c>
      <c r="J23" s="13" t="s">
        <v>923</v>
      </c>
      <c r="K23" s="13" t="s">
        <v>1022</v>
      </c>
      <c r="L23" s="13" t="s">
        <v>1057</v>
      </c>
      <c r="M23" s="13" t="s">
        <v>935</v>
      </c>
      <c r="N23" s="13" t="s">
        <v>1058</v>
      </c>
      <c r="O23" s="13" t="s">
        <v>1059</v>
      </c>
      <c r="P23" s="13" t="s">
        <v>1060</v>
      </c>
      <c r="Q23" s="13" t="s">
        <v>1061</v>
      </c>
      <c r="R23" s="13" t="s">
        <v>669</v>
      </c>
    </row>
    <row r="24" spans="1:18">
      <c r="A24" s="9" t="s">
        <v>1062</v>
      </c>
      <c r="B24" s="13">
        <v>10</v>
      </c>
      <c r="C24" s="12" t="s">
        <v>904</v>
      </c>
      <c r="D24" s="13" t="s">
        <v>54</v>
      </c>
      <c r="E24" s="12">
        <v>2012</v>
      </c>
      <c r="F24" s="12">
        <v>52</v>
      </c>
      <c r="G24" s="13" t="s">
        <v>1027</v>
      </c>
      <c r="H24" s="13" t="s">
        <v>727</v>
      </c>
      <c r="I24" s="13" t="s">
        <v>728</v>
      </c>
      <c r="J24" s="13" t="s">
        <v>923</v>
      </c>
      <c r="K24" s="13" t="s">
        <v>924</v>
      </c>
      <c r="L24" s="13" t="s">
        <v>1063</v>
      </c>
      <c r="M24" s="13" t="s">
        <v>926</v>
      </c>
      <c r="N24" s="13" t="s">
        <v>1064</v>
      </c>
      <c r="O24" s="13" t="s">
        <v>1065</v>
      </c>
      <c r="P24" s="13" t="s">
        <v>1060</v>
      </c>
      <c r="Q24" s="13" t="s">
        <v>1066</v>
      </c>
      <c r="R24" s="13" t="s">
        <v>728</v>
      </c>
    </row>
    <row r="25" spans="1:18">
      <c r="A25" s="9" t="s">
        <v>1067</v>
      </c>
      <c r="B25" s="13">
        <v>11</v>
      </c>
      <c r="C25" s="12" t="s">
        <v>904</v>
      </c>
      <c r="D25" s="13" t="s">
        <v>54</v>
      </c>
      <c r="E25" s="12">
        <v>2012</v>
      </c>
      <c r="F25" s="12">
        <v>20</v>
      </c>
      <c r="G25" s="13" t="s">
        <v>942</v>
      </c>
      <c r="H25" s="13" t="s">
        <v>395</v>
      </c>
      <c r="I25" s="13" t="s">
        <v>396</v>
      </c>
      <c r="J25" s="13" t="s">
        <v>923</v>
      </c>
      <c r="K25" s="13" t="s">
        <v>1068</v>
      </c>
      <c r="L25" s="13" t="s">
        <v>1069</v>
      </c>
      <c r="M25" s="13" t="s">
        <v>1070</v>
      </c>
      <c r="N25" s="13" t="s">
        <v>1071</v>
      </c>
      <c r="O25" s="13" t="s">
        <v>959</v>
      </c>
      <c r="P25" s="13"/>
      <c r="Q25" s="13" t="s">
        <v>1072</v>
      </c>
      <c r="R25" s="13" t="s">
        <v>396</v>
      </c>
    </row>
    <row r="26" spans="1:18">
      <c r="A26" s="9" t="s">
        <v>1073</v>
      </c>
      <c r="B26" s="13">
        <v>39</v>
      </c>
      <c r="C26" s="12" t="s">
        <v>963</v>
      </c>
      <c r="D26" s="13" t="s">
        <v>11</v>
      </c>
      <c r="E26" s="12">
        <v>2012</v>
      </c>
      <c r="F26" s="12">
        <v>1</v>
      </c>
      <c r="G26" s="13" t="s">
        <v>987</v>
      </c>
      <c r="H26" s="13" t="s">
        <v>620</v>
      </c>
      <c r="I26" s="13" t="s">
        <v>621</v>
      </c>
      <c r="J26" s="13" t="s">
        <v>923</v>
      </c>
      <c r="K26" s="13" t="s">
        <v>1074</v>
      </c>
      <c r="L26" s="13" t="s">
        <v>1075</v>
      </c>
      <c r="M26" s="13" t="s">
        <v>926</v>
      </c>
      <c r="N26" s="13" t="s">
        <v>1076</v>
      </c>
      <c r="O26" s="13" t="s">
        <v>1077</v>
      </c>
      <c r="P26" s="13" t="s">
        <v>969</v>
      </c>
      <c r="Q26" s="13" t="s">
        <v>1078</v>
      </c>
      <c r="R26" s="13" t="s">
        <v>621</v>
      </c>
    </row>
    <row r="27" spans="1:18">
      <c r="A27" s="9" t="s">
        <v>1079</v>
      </c>
      <c r="B27" s="13">
        <v>40</v>
      </c>
      <c r="C27" s="12" t="s">
        <v>963</v>
      </c>
      <c r="D27" s="13" t="s">
        <v>11</v>
      </c>
      <c r="E27" s="12">
        <v>2012</v>
      </c>
      <c r="F27" s="12">
        <v>43</v>
      </c>
      <c r="G27" s="13" t="s">
        <v>1045</v>
      </c>
      <c r="H27" s="13" t="s">
        <v>76</v>
      </c>
      <c r="I27" s="13" t="s">
        <v>77</v>
      </c>
      <c r="J27" s="13" t="s">
        <v>906</v>
      </c>
      <c r="K27" s="13" t="s">
        <v>1080</v>
      </c>
      <c r="L27" s="13" t="s">
        <v>1081</v>
      </c>
      <c r="M27" s="13" t="s">
        <v>1082</v>
      </c>
      <c r="N27" s="13" t="s">
        <v>1083</v>
      </c>
      <c r="O27" s="13" t="s">
        <v>1084</v>
      </c>
      <c r="P27" s="13"/>
      <c r="Q27" s="13" t="s">
        <v>1085</v>
      </c>
      <c r="R27" s="13" t="s">
        <v>77</v>
      </c>
    </row>
    <row r="28" spans="1:18">
      <c r="A28" s="9" t="s">
        <v>1086</v>
      </c>
      <c r="B28" s="13">
        <v>41</v>
      </c>
      <c r="C28" s="12" t="s">
        <v>963</v>
      </c>
      <c r="D28" s="13" t="s">
        <v>11</v>
      </c>
      <c r="E28" s="12">
        <v>2012</v>
      </c>
      <c r="F28" s="12">
        <v>22</v>
      </c>
      <c r="G28" s="13" t="s">
        <v>932</v>
      </c>
      <c r="H28" s="13" t="s">
        <v>105</v>
      </c>
      <c r="I28" s="13" t="s">
        <v>106</v>
      </c>
      <c r="J28" s="13" t="s">
        <v>906</v>
      </c>
      <c r="K28" s="13" t="s">
        <v>1087</v>
      </c>
      <c r="L28" s="13" t="s">
        <v>1088</v>
      </c>
      <c r="M28" s="13" t="s">
        <v>926</v>
      </c>
      <c r="N28" s="13" t="s">
        <v>1089</v>
      </c>
      <c r="O28" s="13" t="s">
        <v>983</v>
      </c>
      <c r="P28" s="13"/>
      <c r="Q28" s="13" t="s">
        <v>984</v>
      </c>
      <c r="R28" s="13" t="s">
        <v>106</v>
      </c>
    </row>
    <row r="29" spans="1:18">
      <c r="A29" s="9" t="s">
        <v>1090</v>
      </c>
      <c r="B29" s="13">
        <v>42</v>
      </c>
      <c r="C29" s="12" t="s">
        <v>963</v>
      </c>
      <c r="D29" s="13" t="s">
        <v>11</v>
      </c>
      <c r="E29" s="12">
        <v>2012</v>
      </c>
      <c r="F29" s="12">
        <v>14</v>
      </c>
      <c r="G29" s="13" t="s">
        <v>972</v>
      </c>
      <c r="H29" s="13" t="s">
        <v>179</v>
      </c>
      <c r="I29" s="13" t="s">
        <v>180</v>
      </c>
      <c r="J29" s="13" t="s">
        <v>1007</v>
      </c>
      <c r="K29" s="13" t="s">
        <v>1091</v>
      </c>
      <c r="L29" s="13" t="s">
        <v>1092</v>
      </c>
      <c r="M29" s="13" t="s">
        <v>926</v>
      </c>
      <c r="N29" s="13" t="s">
        <v>1093</v>
      </c>
      <c r="O29" s="13" t="s">
        <v>1065</v>
      </c>
      <c r="P29" s="13"/>
      <c r="Q29" s="13" t="s">
        <v>1094</v>
      </c>
      <c r="R29" s="13" t="s">
        <v>180</v>
      </c>
    </row>
    <row r="30" spans="1:18">
      <c r="A30" s="9" t="s">
        <v>1095</v>
      </c>
      <c r="B30" s="13">
        <v>43</v>
      </c>
      <c r="C30" s="12" t="s">
        <v>963</v>
      </c>
      <c r="D30" s="13" t="s">
        <v>11</v>
      </c>
      <c r="E30" s="12">
        <v>2012</v>
      </c>
      <c r="F30" s="12">
        <v>10</v>
      </c>
      <c r="G30" s="13" t="s">
        <v>949</v>
      </c>
      <c r="H30" s="13" t="s">
        <v>191</v>
      </c>
      <c r="I30" s="13" t="s">
        <v>192</v>
      </c>
      <c r="J30" s="13" t="s">
        <v>906</v>
      </c>
      <c r="K30" s="13" t="s">
        <v>1080</v>
      </c>
      <c r="L30" s="13" t="s">
        <v>1096</v>
      </c>
      <c r="M30" s="13" t="s">
        <v>926</v>
      </c>
      <c r="N30" s="13" t="s">
        <v>1097</v>
      </c>
      <c r="O30" s="13" t="s">
        <v>953</v>
      </c>
      <c r="P30" s="13"/>
      <c r="Q30" s="13" t="s">
        <v>1098</v>
      </c>
      <c r="R30" s="13" t="s">
        <v>192</v>
      </c>
    </row>
    <row r="31" spans="1:18">
      <c r="A31" s="9" t="s">
        <v>1099</v>
      </c>
      <c r="B31" s="13">
        <v>44</v>
      </c>
      <c r="C31" s="12" t="s">
        <v>963</v>
      </c>
      <c r="D31" s="13" t="s">
        <v>54</v>
      </c>
      <c r="E31" s="12">
        <v>2012</v>
      </c>
      <c r="F31" s="12">
        <v>48</v>
      </c>
      <c r="G31" s="13" t="s">
        <v>905</v>
      </c>
      <c r="H31" s="13" t="s">
        <v>823</v>
      </c>
      <c r="I31" s="13" t="s">
        <v>1100</v>
      </c>
      <c r="J31" s="13" t="s">
        <v>1101</v>
      </c>
      <c r="K31" s="13" t="s">
        <v>1102</v>
      </c>
      <c r="L31" s="13" t="s">
        <v>1103</v>
      </c>
      <c r="M31" s="13" t="s">
        <v>909</v>
      </c>
      <c r="N31" s="13" t="s">
        <v>1104</v>
      </c>
      <c r="O31" s="13" t="s">
        <v>1042</v>
      </c>
      <c r="P31" s="13"/>
      <c r="Q31" s="13" t="s">
        <v>1105</v>
      </c>
      <c r="R31" s="13" t="s">
        <v>1100</v>
      </c>
    </row>
    <row r="32" spans="1:18">
      <c r="A32" s="9" t="s">
        <v>1106</v>
      </c>
      <c r="B32" s="13">
        <v>91</v>
      </c>
      <c r="C32" s="12" t="s">
        <v>986</v>
      </c>
      <c r="D32" s="13" t="s">
        <v>11</v>
      </c>
      <c r="E32" s="12">
        <v>2012</v>
      </c>
      <c r="F32" s="12">
        <v>34</v>
      </c>
      <c r="G32" s="13" t="s">
        <v>1045</v>
      </c>
      <c r="H32" s="13" t="s">
        <v>84</v>
      </c>
      <c r="I32" s="13" t="s">
        <v>85</v>
      </c>
      <c r="J32" s="13" t="s">
        <v>906</v>
      </c>
      <c r="K32" s="13" t="s">
        <v>1107</v>
      </c>
      <c r="L32" s="13" t="s">
        <v>1108</v>
      </c>
      <c r="M32" s="13" t="s">
        <v>926</v>
      </c>
      <c r="N32" s="13" t="s">
        <v>1109</v>
      </c>
      <c r="O32" s="13" t="s">
        <v>959</v>
      </c>
      <c r="P32" s="13" t="s">
        <v>1110</v>
      </c>
      <c r="Q32" s="13" t="s">
        <v>1111</v>
      </c>
      <c r="R32" s="13" t="s">
        <v>85</v>
      </c>
    </row>
    <row r="33" spans="1:18">
      <c r="A33" s="9" t="s">
        <v>1112</v>
      </c>
      <c r="B33" s="13">
        <v>103</v>
      </c>
      <c r="C33" s="12" t="s">
        <v>999</v>
      </c>
      <c r="D33" s="13" t="s">
        <v>54</v>
      </c>
      <c r="E33" s="12">
        <v>2012</v>
      </c>
      <c r="F33" s="12">
        <v>52</v>
      </c>
      <c r="G33" s="13" t="s">
        <v>1032</v>
      </c>
      <c r="H33" s="13" t="s">
        <v>336</v>
      </c>
      <c r="I33" s="13" t="s">
        <v>337</v>
      </c>
      <c r="J33" s="13" t="s">
        <v>973</v>
      </c>
      <c r="K33" s="13" t="s">
        <v>974</v>
      </c>
      <c r="L33" s="13" t="s">
        <v>1113</v>
      </c>
      <c r="M33" s="13" t="s">
        <v>1002</v>
      </c>
      <c r="N33" s="13" t="s">
        <v>1114</v>
      </c>
      <c r="O33" s="13" t="s">
        <v>1115</v>
      </c>
      <c r="P33" s="13" t="s">
        <v>1116</v>
      </c>
      <c r="Q33" s="13" t="s">
        <v>1117</v>
      </c>
      <c r="R33" s="13" t="s">
        <v>337</v>
      </c>
    </row>
    <row r="34" s="9" customFormat="1" spans="1:18">
      <c r="A34" s="9" t="s">
        <v>1118</v>
      </c>
      <c r="B34" s="13">
        <v>12</v>
      </c>
      <c r="C34" s="12" t="s">
        <v>904</v>
      </c>
      <c r="D34" s="13" t="s">
        <v>54</v>
      </c>
      <c r="E34" s="12">
        <v>2013</v>
      </c>
      <c r="F34" s="12">
        <v>25</v>
      </c>
      <c r="G34" s="13" t="s">
        <v>987</v>
      </c>
      <c r="H34" s="13" t="s">
        <v>401</v>
      </c>
      <c r="I34" s="13" t="s">
        <v>402</v>
      </c>
      <c r="J34" s="13" t="s">
        <v>973</v>
      </c>
      <c r="K34" s="13" t="s">
        <v>1119</v>
      </c>
      <c r="L34" s="13" t="s">
        <v>1120</v>
      </c>
      <c r="M34" s="13" t="s">
        <v>935</v>
      </c>
      <c r="N34" s="13" t="s">
        <v>1121</v>
      </c>
      <c r="O34" s="13" t="s">
        <v>1122</v>
      </c>
      <c r="P34" s="13"/>
      <c r="Q34" s="13" t="s">
        <v>1123</v>
      </c>
      <c r="R34" s="13" t="s">
        <v>402</v>
      </c>
    </row>
    <row r="35" spans="1:18">
      <c r="A35" s="9" t="s">
        <v>1124</v>
      </c>
      <c r="B35" s="13">
        <v>13</v>
      </c>
      <c r="C35" s="12" t="s">
        <v>904</v>
      </c>
      <c r="D35" s="13" t="s">
        <v>11</v>
      </c>
      <c r="E35" s="12">
        <v>2013</v>
      </c>
      <c r="F35" s="12">
        <v>14</v>
      </c>
      <c r="G35" s="13" t="s">
        <v>1125</v>
      </c>
      <c r="H35" s="13" t="s">
        <v>158</v>
      </c>
      <c r="I35" s="13" t="s">
        <v>159</v>
      </c>
      <c r="J35" s="13" t="s">
        <v>906</v>
      </c>
      <c r="K35" s="13" t="s">
        <v>1126</v>
      </c>
      <c r="L35" s="13" t="s">
        <v>1127</v>
      </c>
      <c r="M35" s="13" t="s">
        <v>909</v>
      </c>
      <c r="N35" s="13" t="s">
        <v>910</v>
      </c>
      <c r="O35" s="13" t="s">
        <v>1128</v>
      </c>
      <c r="P35" s="13"/>
      <c r="Q35" s="13" t="s">
        <v>1129</v>
      </c>
      <c r="R35" s="13" t="s">
        <v>159</v>
      </c>
    </row>
    <row r="36" spans="1:18">
      <c r="A36" s="9" t="s">
        <v>1130</v>
      </c>
      <c r="B36" s="13">
        <v>45</v>
      </c>
      <c r="C36" s="12" t="s">
        <v>963</v>
      </c>
      <c r="D36" s="13" t="s">
        <v>54</v>
      </c>
      <c r="E36" s="12">
        <v>2013</v>
      </c>
      <c r="F36" s="12">
        <v>12</v>
      </c>
      <c r="G36" s="13" t="s">
        <v>987</v>
      </c>
      <c r="H36" s="13" t="s">
        <v>681</v>
      </c>
      <c r="I36" s="13" t="s">
        <v>682</v>
      </c>
      <c r="J36" s="13" t="s">
        <v>1131</v>
      </c>
      <c r="K36" s="13" t="s">
        <v>1132</v>
      </c>
      <c r="L36" s="13" t="s">
        <v>1133</v>
      </c>
      <c r="M36" s="13" t="s">
        <v>926</v>
      </c>
      <c r="N36" s="13" t="s">
        <v>1134</v>
      </c>
      <c r="O36" s="13" t="s">
        <v>1011</v>
      </c>
      <c r="P36" s="13" t="s">
        <v>1116</v>
      </c>
      <c r="Q36" s="13" t="s">
        <v>1135</v>
      </c>
      <c r="R36" s="13" t="s">
        <v>682</v>
      </c>
    </row>
    <row r="37" spans="1:18">
      <c r="A37" s="9" t="s">
        <v>1136</v>
      </c>
      <c r="B37" s="13">
        <v>92</v>
      </c>
      <c r="C37" s="12" t="s">
        <v>986</v>
      </c>
      <c r="D37" s="13" t="s">
        <v>54</v>
      </c>
      <c r="E37" s="12">
        <v>2013</v>
      </c>
      <c r="F37" s="12">
        <v>34</v>
      </c>
      <c r="G37" s="13" t="s">
        <v>972</v>
      </c>
      <c r="H37" s="13" t="s">
        <v>362</v>
      </c>
      <c r="I37" s="13" t="s">
        <v>363</v>
      </c>
      <c r="J37" s="13" t="s">
        <v>973</v>
      </c>
      <c r="K37" s="13" t="s">
        <v>1137</v>
      </c>
      <c r="L37" s="13" t="s">
        <v>1138</v>
      </c>
      <c r="M37" s="13" t="s">
        <v>926</v>
      </c>
      <c r="N37" s="13" t="s">
        <v>1139</v>
      </c>
      <c r="O37" s="13" t="s">
        <v>911</v>
      </c>
      <c r="P37" s="13" t="s">
        <v>1140</v>
      </c>
      <c r="Q37" s="9" t="s">
        <v>1141</v>
      </c>
      <c r="R37" s="13" t="s">
        <v>363</v>
      </c>
    </row>
    <row r="38" spans="1:18">
      <c r="A38" s="9" t="s">
        <v>1142</v>
      </c>
      <c r="B38" s="13">
        <v>46</v>
      </c>
      <c r="C38" s="12" t="s">
        <v>999</v>
      </c>
      <c r="D38" s="13" t="s">
        <v>11</v>
      </c>
      <c r="E38" s="12">
        <v>2013</v>
      </c>
      <c r="F38" s="12">
        <v>27</v>
      </c>
      <c r="G38" s="13" t="s">
        <v>942</v>
      </c>
      <c r="H38" s="13" t="s">
        <v>841</v>
      </c>
      <c r="I38" s="13" t="s">
        <v>842</v>
      </c>
      <c r="J38" s="13" t="s">
        <v>906</v>
      </c>
      <c r="K38" s="13" t="s">
        <v>1143</v>
      </c>
      <c r="L38" s="13" t="s">
        <v>1144</v>
      </c>
      <c r="M38" s="13" t="s">
        <v>1002</v>
      </c>
      <c r="N38" s="13" t="s">
        <v>1145</v>
      </c>
      <c r="O38" s="13" t="s">
        <v>1004</v>
      </c>
      <c r="P38" s="13"/>
      <c r="Q38" s="13" t="s">
        <v>1146</v>
      </c>
      <c r="R38" s="13" t="s">
        <v>842</v>
      </c>
    </row>
    <row r="39" spans="1:18">
      <c r="A39" s="9" t="s">
        <v>1147</v>
      </c>
      <c r="B39" s="13">
        <v>104</v>
      </c>
      <c r="C39" s="12" t="s">
        <v>999</v>
      </c>
      <c r="D39" s="13" t="s">
        <v>54</v>
      </c>
      <c r="E39" s="12">
        <v>2013</v>
      </c>
      <c r="F39" s="12">
        <v>63</v>
      </c>
      <c r="G39" s="13" t="s">
        <v>1148</v>
      </c>
      <c r="H39" s="13" t="s">
        <v>370</v>
      </c>
      <c r="I39" s="13" t="s">
        <v>371</v>
      </c>
      <c r="J39" s="13" t="s">
        <v>973</v>
      </c>
      <c r="K39" s="13" t="s">
        <v>974</v>
      </c>
      <c r="L39" s="13" t="s">
        <v>1149</v>
      </c>
      <c r="M39" s="13" t="s">
        <v>1002</v>
      </c>
      <c r="N39" s="13" t="s">
        <v>1150</v>
      </c>
      <c r="O39" s="13" t="s">
        <v>1115</v>
      </c>
      <c r="P39" s="13"/>
      <c r="Q39" s="13" t="s">
        <v>1151</v>
      </c>
      <c r="R39" s="13" t="s">
        <v>371</v>
      </c>
    </row>
    <row r="40" spans="1:18">
      <c r="A40" s="9" t="s">
        <v>1152</v>
      </c>
      <c r="B40" s="13">
        <v>14</v>
      </c>
      <c r="C40" s="12" t="s">
        <v>904</v>
      </c>
      <c r="D40" s="13" t="s">
        <v>941</v>
      </c>
      <c r="E40" s="12">
        <v>2014</v>
      </c>
      <c r="F40" s="12">
        <v>28</v>
      </c>
      <c r="G40" s="13" t="s">
        <v>932</v>
      </c>
      <c r="H40" s="13" t="s">
        <v>22</v>
      </c>
      <c r="I40" s="13" t="s">
        <v>23</v>
      </c>
      <c r="J40" s="13" t="s">
        <v>906</v>
      </c>
      <c r="K40" s="13" t="s">
        <v>1153</v>
      </c>
      <c r="L40" s="13" t="s">
        <v>1154</v>
      </c>
      <c r="M40" s="13" t="s">
        <v>1070</v>
      </c>
      <c r="N40" s="13" t="s">
        <v>1155</v>
      </c>
      <c r="O40" s="13" t="s">
        <v>1050</v>
      </c>
      <c r="P40" s="13" t="s">
        <v>969</v>
      </c>
      <c r="Q40" s="13" t="s">
        <v>1156</v>
      </c>
      <c r="R40" s="13" t="s">
        <v>23</v>
      </c>
    </row>
    <row r="41" spans="1:18">
      <c r="A41" s="9" t="s">
        <v>1157</v>
      </c>
      <c r="B41" s="13">
        <v>15</v>
      </c>
      <c r="C41" s="12" t="s">
        <v>904</v>
      </c>
      <c r="D41" s="13" t="s">
        <v>54</v>
      </c>
      <c r="E41" s="12">
        <v>2014</v>
      </c>
      <c r="F41" s="12">
        <v>55</v>
      </c>
      <c r="G41" s="13" t="s">
        <v>1000</v>
      </c>
      <c r="H41" s="13" t="s">
        <v>318</v>
      </c>
      <c r="I41" s="13" t="s">
        <v>319</v>
      </c>
      <c r="J41" s="13" t="s">
        <v>973</v>
      </c>
      <c r="K41" s="13" t="s">
        <v>1158</v>
      </c>
      <c r="L41" s="13" t="s">
        <v>1159</v>
      </c>
      <c r="M41" s="13" t="s">
        <v>926</v>
      </c>
      <c r="N41" s="13" t="s">
        <v>1160</v>
      </c>
      <c r="O41" s="13" t="s">
        <v>1161</v>
      </c>
      <c r="P41" s="13"/>
      <c r="Q41" s="13" t="s">
        <v>1162</v>
      </c>
      <c r="R41" s="13" t="s">
        <v>319</v>
      </c>
    </row>
    <row r="42" spans="1:18">
      <c r="A42" s="9" t="s">
        <v>1163</v>
      </c>
      <c r="B42" s="13">
        <v>16</v>
      </c>
      <c r="C42" s="12" t="s">
        <v>904</v>
      </c>
      <c r="D42" s="13" t="s">
        <v>11</v>
      </c>
      <c r="E42" s="12">
        <v>2014</v>
      </c>
      <c r="F42" s="12">
        <v>30</v>
      </c>
      <c r="G42" s="13" t="s">
        <v>1164</v>
      </c>
      <c r="H42" s="13" t="s">
        <v>78</v>
      </c>
      <c r="I42" s="13" t="s">
        <v>79</v>
      </c>
      <c r="J42" s="13" t="s">
        <v>906</v>
      </c>
      <c r="K42" s="13" t="s">
        <v>1165</v>
      </c>
      <c r="L42" s="13" t="s">
        <v>1166</v>
      </c>
      <c r="M42" s="13" t="s">
        <v>926</v>
      </c>
      <c r="N42" s="13" t="s">
        <v>982</v>
      </c>
      <c r="O42" s="13" t="s">
        <v>983</v>
      </c>
      <c r="P42" s="13" t="s">
        <v>1167</v>
      </c>
      <c r="Q42" s="13" t="s">
        <v>1168</v>
      </c>
      <c r="R42" s="13" t="s">
        <v>79</v>
      </c>
    </row>
    <row r="43" spans="1:18">
      <c r="A43" s="9" t="s">
        <v>1169</v>
      </c>
      <c r="B43" s="13">
        <v>47</v>
      </c>
      <c r="C43" s="12" t="s">
        <v>963</v>
      </c>
      <c r="D43" s="13" t="s">
        <v>941</v>
      </c>
      <c r="E43" s="12">
        <v>2014</v>
      </c>
      <c r="F43" s="12">
        <v>47</v>
      </c>
      <c r="G43" s="13" t="s">
        <v>942</v>
      </c>
      <c r="H43" s="13" t="s">
        <v>24</v>
      </c>
      <c r="I43" s="13" t="s">
        <v>25</v>
      </c>
      <c r="J43" s="13" t="s">
        <v>906</v>
      </c>
      <c r="K43" s="13" t="s">
        <v>1153</v>
      </c>
      <c r="L43" s="13" t="s">
        <v>1170</v>
      </c>
      <c r="M43" s="13" t="s">
        <v>926</v>
      </c>
      <c r="N43" s="13"/>
      <c r="O43" s="13" t="s">
        <v>1065</v>
      </c>
      <c r="P43" s="13" t="s">
        <v>1171</v>
      </c>
      <c r="Q43" s="13" t="s">
        <v>1172</v>
      </c>
      <c r="R43" s="13" t="s">
        <v>25</v>
      </c>
    </row>
    <row r="44" spans="1:18">
      <c r="A44" s="9" t="s">
        <v>1173</v>
      </c>
      <c r="B44" s="13">
        <v>48</v>
      </c>
      <c r="C44" s="12" t="s">
        <v>963</v>
      </c>
      <c r="D44" s="13" t="s">
        <v>11</v>
      </c>
      <c r="E44" s="12">
        <v>2014</v>
      </c>
      <c r="F44" s="12">
        <v>20</v>
      </c>
      <c r="G44" s="13" t="s">
        <v>1045</v>
      </c>
      <c r="H44" s="13" t="s">
        <v>803</v>
      </c>
      <c r="I44" s="13" t="s">
        <v>804</v>
      </c>
      <c r="J44" s="13" t="s">
        <v>906</v>
      </c>
      <c r="K44" s="13" t="s">
        <v>1174</v>
      </c>
      <c r="L44" s="13" t="s">
        <v>1175</v>
      </c>
      <c r="M44" s="13" t="s">
        <v>926</v>
      </c>
      <c r="N44" s="13" t="s">
        <v>910</v>
      </c>
      <c r="O44" s="13" t="s">
        <v>1176</v>
      </c>
      <c r="P44" s="13" t="s">
        <v>969</v>
      </c>
      <c r="Q44" s="13" t="s">
        <v>1177</v>
      </c>
      <c r="R44" s="13" t="s">
        <v>804</v>
      </c>
    </row>
    <row r="45" s="9" customFormat="1" spans="1:18">
      <c r="A45" s="9" t="s">
        <v>1178</v>
      </c>
      <c r="B45" s="13">
        <v>49</v>
      </c>
      <c r="C45" s="12" t="s">
        <v>963</v>
      </c>
      <c r="D45" s="13" t="s">
        <v>11</v>
      </c>
      <c r="E45" s="12">
        <v>2014</v>
      </c>
      <c r="F45" s="12">
        <v>20</v>
      </c>
      <c r="G45" s="13" t="s">
        <v>964</v>
      </c>
      <c r="H45" s="13" t="s">
        <v>614</v>
      </c>
      <c r="I45" s="13" t="s">
        <v>615</v>
      </c>
      <c r="J45" s="13" t="s">
        <v>923</v>
      </c>
      <c r="K45" s="13" t="s">
        <v>1022</v>
      </c>
      <c r="L45" s="13" t="s">
        <v>1179</v>
      </c>
      <c r="M45" s="13" t="s">
        <v>926</v>
      </c>
      <c r="N45" s="13" t="s">
        <v>1180</v>
      </c>
      <c r="O45" s="13" t="s">
        <v>1181</v>
      </c>
      <c r="P45" s="13" t="s">
        <v>1182</v>
      </c>
      <c r="Q45" s="13" t="s">
        <v>1183</v>
      </c>
      <c r="R45" s="13" t="s">
        <v>615</v>
      </c>
    </row>
    <row r="46" spans="1:18">
      <c r="A46" s="9" t="s">
        <v>1184</v>
      </c>
      <c r="B46" s="13">
        <v>50</v>
      </c>
      <c r="C46" s="12" t="s">
        <v>963</v>
      </c>
      <c r="D46" s="13" t="s">
        <v>54</v>
      </c>
      <c r="E46" s="12">
        <v>2014</v>
      </c>
      <c r="F46" s="12">
        <v>88</v>
      </c>
      <c r="G46" s="13" t="s">
        <v>964</v>
      </c>
      <c r="H46" s="13" t="s">
        <v>368</v>
      </c>
      <c r="I46" s="13" t="s">
        <v>369</v>
      </c>
      <c r="J46" s="13" t="s">
        <v>973</v>
      </c>
      <c r="K46" s="13" t="s">
        <v>974</v>
      </c>
      <c r="L46" s="13" t="s">
        <v>1185</v>
      </c>
      <c r="M46" s="13" t="s">
        <v>909</v>
      </c>
      <c r="N46" s="13" t="s">
        <v>1186</v>
      </c>
      <c r="O46" s="13" t="s">
        <v>1128</v>
      </c>
      <c r="P46" s="13" t="s">
        <v>969</v>
      </c>
      <c r="Q46" s="13" t="s">
        <v>1187</v>
      </c>
      <c r="R46" s="13" t="s">
        <v>369</v>
      </c>
    </row>
    <row r="47" s="9" customFormat="1" spans="1:18">
      <c r="A47" s="9" t="s">
        <v>1188</v>
      </c>
      <c r="B47" s="13">
        <v>51</v>
      </c>
      <c r="C47" s="12" t="s">
        <v>963</v>
      </c>
      <c r="D47" s="13" t="s">
        <v>54</v>
      </c>
      <c r="E47" s="12">
        <v>2014</v>
      </c>
      <c r="F47" s="12">
        <v>57</v>
      </c>
      <c r="G47" s="13" t="s">
        <v>1189</v>
      </c>
      <c r="H47" s="13" t="s">
        <v>374</v>
      </c>
      <c r="I47" s="13" t="s">
        <v>375</v>
      </c>
      <c r="J47" s="13" t="s">
        <v>973</v>
      </c>
      <c r="K47" s="13" t="s">
        <v>1190</v>
      </c>
      <c r="L47" s="13" t="s">
        <v>1191</v>
      </c>
      <c r="M47" s="13" t="s">
        <v>909</v>
      </c>
      <c r="N47" s="13" t="s">
        <v>1192</v>
      </c>
      <c r="O47" s="13" t="s">
        <v>1042</v>
      </c>
      <c r="P47" s="13"/>
      <c r="Q47" s="13" t="s">
        <v>1193</v>
      </c>
      <c r="R47" s="13" t="s">
        <v>375</v>
      </c>
    </row>
    <row r="48" spans="1:18">
      <c r="A48" s="9" t="s">
        <v>1194</v>
      </c>
      <c r="B48" s="13">
        <v>52</v>
      </c>
      <c r="C48" s="12" t="s">
        <v>963</v>
      </c>
      <c r="D48" s="13" t="s">
        <v>11</v>
      </c>
      <c r="E48" s="12">
        <v>2014</v>
      </c>
      <c r="F48" s="12">
        <v>15</v>
      </c>
      <c r="G48" s="13" t="s">
        <v>956</v>
      </c>
      <c r="H48" s="13" t="s">
        <v>173</v>
      </c>
      <c r="I48" s="13" t="s">
        <v>174</v>
      </c>
      <c r="J48" s="13" t="s">
        <v>906</v>
      </c>
      <c r="K48" s="13" t="s">
        <v>1195</v>
      </c>
      <c r="L48" s="13" t="s">
        <v>1196</v>
      </c>
      <c r="M48" s="13" t="s">
        <v>926</v>
      </c>
      <c r="N48" s="13" t="s">
        <v>1197</v>
      </c>
      <c r="O48" s="13" t="s">
        <v>968</v>
      </c>
      <c r="P48" s="13"/>
      <c r="Q48" s="13" t="s">
        <v>1198</v>
      </c>
      <c r="R48" s="13" t="s">
        <v>174</v>
      </c>
    </row>
    <row r="49" spans="1:18">
      <c r="A49" s="9" t="s">
        <v>1199</v>
      </c>
      <c r="B49" s="13">
        <v>53</v>
      </c>
      <c r="C49" s="12" t="s">
        <v>963</v>
      </c>
      <c r="D49" s="13" t="s">
        <v>54</v>
      </c>
      <c r="E49" s="12">
        <v>2014</v>
      </c>
      <c r="F49" s="12">
        <v>30</v>
      </c>
      <c r="G49" s="13" t="s">
        <v>1125</v>
      </c>
      <c r="H49" s="13" t="s">
        <v>839</v>
      </c>
      <c r="I49" s="13" t="s">
        <v>840</v>
      </c>
      <c r="J49" s="13" t="s">
        <v>923</v>
      </c>
      <c r="K49" s="13" t="s">
        <v>924</v>
      </c>
      <c r="L49" s="13" t="s">
        <v>1200</v>
      </c>
      <c r="M49" s="13" t="s">
        <v>976</v>
      </c>
      <c r="N49" s="13" t="s">
        <v>1201</v>
      </c>
      <c r="O49" s="13" t="s">
        <v>978</v>
      </c>
      <c r="P49" s="13"/>
      <c r="Q49" s="13" t="s">
        <v>1202</v>
      </c>
      <c r="R49" s="13" t="s">
        <v>840</v>
      </c>
    </row>
    <row r="50" spans="1:18">
      <c r="A50" s="9" t="s">
        <v>1203</v>
      </c>
      <c r="B50" s="13">
        <v>17</v>
      </c>
      <c r="C50" s="12" t="s">
        <v>904</v>
      </c>
      <c r="D50" s="13" t="s">
        <v>54</v>
      </c>
      <c r="E50" s="12">
        <v>2015</v>
      </c>
      <c r="F50" s="12">
        <v>11</v>
      </c>
      <c r="G50" s="13" t="s">
        <v>1000</v>
      </c>
      <c r="H50" s="13" t="s">
        <v>576</v>
      </c>
      <c r="I50" s="13" t="s">
        <v>577</v>
      </c>
      <c r="J50" s="13" t="s">
        <v>923</v>
      </c>
      <c r="K50" s="13" t="s">
        <v>1204</v>
      </c>
      <c r="L50" s="13" t="s">
        <v>1205</v>
      </c>
      <c r="M50" s="13" t="s">
        <v>926</v>
      </c>
      <c r="N50" s="13" t="s">
        <v>1206</v>
      </c>
      <c r="O50" s="13" t="s">
        <v>1011</v>
      </c>
      <c r="P50" s="13" t="s">
        <v>1207</v>
      </c>
      <c r="Q50" s="13" t="s">
        <v>1208</v>
      </c>
      <c r="R50" s="13" t="s">
        <v>577</v>
      </c>
    </row>
    <row r="51" spans="1:18">
      <c r="A51" s="9" t="s">
        <v>1209</v>
      </c>
      <c r="B51" s="13">
        <v>18</v>
      </c>
      <c r="C51" s="12" t="s">
        <v>904</v>
      </c>
      <c r="D51" s="13" t="s">
        <v>54</v>
      </c>
      <c r="E51" s="12">
        <v>2015</v>
      </c>
      <c r="F51" s="12">
        <v>17</v>
      </c>
      <c r="G51" s="13" t="s">
        <v>1210</v>
      </c>
      <c r="H51" s="13" t="s">
        <v>409</v>
      </c>
      <c r="I51" s="13" t="s">
        <v>410</v>
      </c>
      <c r="J51" s="13" t="s">
        <v>973</v>
      </c>
      <c r="K51" s="13" t="s">
        <v>1211</v>
      </c>
      <c r="L51" s="13" t="s">
        <v>1212</v>
      </c>
      <c r="M51" s="13" t="s">
        <v>926</v>
      </c>
      <c r="N51" s="13"/>
      <c r="O51" s="13" t="s">
        <v>1181</v>
      </c>
      <c r="P51" s="13"/>
      <c r="Q51" s="13" t="s">
        <v>1213</v>
      </c>
      <c r="R51" s="13" t="s">
        <v>410</v>
      </c>
    </row>
    <row r="52" spans="1:18">
      <c r="A52" s="9" t="s">
        <v>1214</v>
      </c>
      <c r="B52" s="13">
        <v>54</v>
      </c>
      <c r="C52" s="12" t="s">
        <v>963</v>
      </c>
      <c r="D52" s="13" t="s">
        <v>11</v>
      </c>
      <c r="E52" s="12">
        <v>2015</v>
      </c>
      <c r="F52" s="12">
        <v>9</v>
      </c>
      <c r="G52" s="13" t="s">
        <v>1015</v>
      </c>
      <c r="H52" s="13" t="s">
        <v>560</v>
      </c>
      <c r="I52" s="13" t="s">
        <v>561</v>
      </c>
      <c r="J52" s="13" t="s">
        <v>923</v>
      </c>
      <c r="K52" s="13" t="s">
        <v>1215</v>
      </c>
      <c r="L52" s="13" t="s">
        <v>1216</v>
      </c>
      <c r="M52" s="13" t="s">
        <v>926</v>
      </c>
      <c r="N52" s="13" t="s">
        <v>1217</v>
      </c>
      <c r="O52" s="13" t="s">
        <v>1019</v>
      </c>
      <c r="P52" s="13" t="s">
        <v>1218</v>
      </c>
      <c r="Q52" s="13" t="s">
        <v>1219</v>
      </c>
      <c r="R52" s="13" t="s">
        <v>561</v>
      </c>
    </row>
    <row r="53" spans="1:18">
      <c r="A53" s="9" t="s">
        <v>1220</v>
      </c>
      <c r="B53" s="13">
        <v>55</v>
      </c>
      <c r="C53" s="12" t="s">
        <v>963</v>
      </c>
      <c r="D53" s="13" t="s">
        <v>54</v>
      </c>
      <c r="E53" s="12">
        <v>2015</v>
      </c>
      <c r="F53" s="12">
        <v>21</v>
      </c>
      <c r="G53" s="13" t="s">
        <v>1221</v>
      </c>
      <c r="H53" s="13" t="s">
        <v>723</v>
      </c>
      <c r="I53" s="13" t="s">
        <v>724</v>
      </c>
      <c r="J53" s="13" t="s">
        <v>923</v>
      </c>
      <c r="K53" s="13" t="s">
        <v>1222</v>
      </c>
      <c r="L53" s="13" t="s">
        <v>1223</v>
      </c>
      <c r="M53" s="13" t="s">
        <v>926</v>
      </c>
      <c r="N53" s="13" t="s">
        <v>1224</v>
      </c>
      <c r="O53" s="13" t="s">
        <v>1225</v>
      </c>
      <c r="P53" s="13" t="s">
        <v>1226</v>
      </c>
      <c r="Q53" s="13" t="s">
        <v>1227</v>
      </c>
      <c r="R53" s="13" t="s">
        <v>724</v>
      </c>
    </row>
    <row r="54" spans="1:18">
      <c r="A54" s="9" t="s">
        <v>1228</v>
      </c>
      <c r="B54" s="13">
        <v>56</v>
      </c>
      <c r="C54" s="12" t="s">
        <v>963</v>
      </c>
      <c r="D54" s="13" t="s">
        <v>54</v>
      </c>
      <c r="E54" s="12">
        <v>2015</v>
      </c>
      <c r="F54" s="12">
        <v>33</v>
      </c>
      <c r="G54" s="13" t="s">
        <v>987</v>
      </c>
      <c r="H54" s="13" t="s">
        <v>316</v>
      </c>
      <c r="I54" s="13" t="s">
        <v>317</v>
      </c>
      <c r="J54" s="13" t="s">
        <v>973</v>
      </c>
      <c r="K54" s="13" t="s">
        <v>1229</v>
      </c>
      <c r="L54" s="13" t="s">
        <v>1230</v>
      </c>
      <c r="M54" s="13" t="s">
        <v>976</v>
      </c>
      <c r="N54" s="13" t="s">
        <v>1231</v>
      </c>
      <c r="O54" s="13" t="s">
        <v>978</v>
      </c>
      <c r="P54" s="13"/>
      <c r="Q54" s="13" t="s">
        <v>1232</v>
      </c>
      <c r="R54" s="13" t="s">
        <v>317</v>
      </c>
    </row>
    <row r="55" spans="1:18">
      <c r="A55" s="9" t="s">
        <v>1233</v>
      </c>
      <c r="B55" s="13">
        <v>57</v>
      </c>
      <c r="C55" s="12" t="s">
        <v>963</v>
      </c>
      <c r="D55" s="13" t="s">
        <v>54</v>
      </c>
      <c r="E55" s="12">
        <v>2015</v>
      </c>
      <c r="F55" s="12">
        <v>31</v>
      </c>
      <c r="G55" s="13" t="s">
        <v>987</v>
      </c>
      <c r="H55" s="13" t="s">
        <v>334</v>
      </c>
      <c r="I55" s="13" t="s">
        <v>335</v>
      </c>
      <c r="J55" s="13" t="s">
        <v>973</v>
      </c>
      <c r="K55" s="13" t="s">
        <v>1234</v>
      </c>
      <c r="L55" s="13" t="s">
        <v>1235</v>
      </c>
      <c r="M55" s="13" t="s">
        <v>926</v>
      </c>
      <c r="N55" s="13" t="s">
        <v>1236</v>
      </c>
      <c r="O55" s="13" t="s">
        <v>1011</v>
      </c>
      <c r="P55" s="13"/>
      <c r="Q55" s="13" t="s">
        <v>1237</v>
      </c>
      <c r="R55" s="13" t="s">
        <v>335</v>
      </c>
    </row>
    <row r="56" spans="1:18">
      <c r="A56" s="9" t="s">
        <v>1238</v>
      </c>
      <c r="B56" s="13">
        <v>58</v>
      </c>
      <c r="C56" s="12" t="s">
        <v>963</v>
      </c>
      <c r="D56" s="13" t="s">
        <v>54</v>
      </c>
      <c r="E56" s="12">
        <v>2015</v>
      </c>
      <c r="F56" s="12">
        <v>84</v>
      </c>
      <c r="G56" s="13" t="s">
        <v>922</v>
      </c>
      <c r="H56" s="13" t="s">
        <v>378</v>
      </c>
      <c r="I56" s="13" t="s">
        <v>379</v>
      </c>
      <c r="J56" s="13" t="s">
        <v>973</v>
      </c>
      <c r="K56" s="13" t="s">
        <v>1239</v>
      </c>
      <c r="L56" s="13" t="s">
        <v>1240</v>
      </c>
      <c r="M56" s="13" t="s">
        <v>926</v>
      </c>
      <c r="N56" s="13" t="s">
        <v>1241</v>
      </c>
      <c r="O56" s="13" t="s">
        <v>1181</v>
      </c>
      <c r="P56" s="13" t="s">
        <v>969</v>
      </c>
      <c r="Q56" s="13" t="s">
        <v>1242</v>
      </c>
      <c r="R56" s="13" t="s">
        <v>379</v>
      </c>
    </row>
    <row r="57" spans="1:18">
      <c r="A57" s="9" t="s">
        <v>1243</v>
      </c>
      <c r="B57" s="13">
        <v>59</v>
      </c>
      <c r="C57" s="12" t="s">
        <v>963</v>
      </c>
      <c r="D57" s="13" t="s">
        <v>54</v>
      </c>
      <c r="E57" s="12">
        <v>2015</v>
      </c>
      <c r="F57" s="12">
        <v>10</v>
      </c>
      <c r="G57" s="13" t="s">
        <v>942</v>
      </c>
      <c r="H57" s="13" t="s">
        <v>387</v>
      </c>
      <c r="I57" s="13" t="s">
        <v>388</v>
      </c>
      <c r="J57" s="13" t="s">
        <v>973</v>
      </c>
      <c r="K57" s="13" t="s">
        <v>1244</v>
      </c>
      <c r="L57" s="13" t="s">
        <v>1245</v>
      </c>
      <c r="M57" s="13" t="s">
        <v>909</v>
      </c>
      <c r="N57" s="13"/>
      <c r="O57" s="13" t="s">
        <v>1128</v>
      </c>
      <c r="P57" s="13" t="s">
        <v>1246</v>
      </c>
      <c r="Q57" s="13" t="s">
        <v>1247</v>
      </c>
      <c r="R57" s="13" t="s">
        <v>388</v>
      </c>
    </row>
    <row r="58" spans="1:18">
      <c r="A58" s="9" t="s">
        <v>1248</v>
      </c>
      <c r="B58" s="13">
        <v>60</v>
      </c>
      <c r="C58" s="12" t="s">
        <v>963</v>
      </c>
      <c r="D58" s="13" t="s">
        <v>54</v>
      </c>
      <c r="E58" s="12">
        <v>2015</v>
      </c>
      <c r="F58" s="12">
        <v>89</v>
      </c>
      <c r="G58" s="13" t="s">
        <v>972</v>
      </c>
      <c r="H58" s="13" t="s">
        <v>821</v>
      </c>
      <c r="I58" s="13" t="s">
        <v>822</v>
      </c>
      <c r="J58" s="13" t="s">
        <v>906</v>
      </c>
      <c r="K58" s="13" t="s">
        <v>1249</v>
      </c>
      <c r="L58" s="13" t="s">
        <v>1250</v>
      </c>
      <c r="M58" s="13" t="s">
        <v>926</v>
      </c>
      <c r="N58" s="13" t="s">
        <v>1251</v>
      </c>
      <c r="O58" s="13" t="s">
        <v>959</v>
      </c>
      <c r="P58" s="13" t="s">
        <v>1252</v>
      </c>
      <c r="Q58" s="13" t="s">
        <v>1253</v>
      </c>
      <c r="R58" s="13" t="s">
        <v>822</v>
      </c>
    </row>
    <row r="59" spans="1:18">
      <c r="A59" s="9" t="s">
        <v>1254</v>
      </c>
      <c r="B59" s="13">
        <v>105</v>
      </c>
      <c r="C59" s="12" t="s">
        <v>999</v>
      </c>
      <c r="D59" s="13" t="s">
        <v>54</v>
      </c>
      <c r="E59" s="12">
        <v>2015</v>
      </c>
      <c r="F59" s="12">
        <v>126</v>
      </c>
      <c r="G59" s="13" t="s">
        <v>1255</v>
      </c>
      <c r="H59" s="13" t="s">
        <v>403</v>
      </c>
      <c r="I59" s="13" t="s">
        <v>404</v>
      </c>
      <c r="J59" s="13" t="s">
        <v>973</v>
      </c>
      <c r="K59" s="13" t="s">
        <v>1028</v>
      </c>
      <c r="L59" s="13" t="s">
        <v>1256</v>
      </c>
      <c r="M59" s="13" t="s">
        <v>1002</v>
      </c>
      <c r="N59" s="13"/>
      <c r="O59" s="13" t="s">
        <v>1257</v>
      </c>
      <c r="P59" s="13"/>
      <c r="Q59" s="13" t="s">
        <v>1258</v>
      </c>
      <c r="R59" s="13" t="s">
        <v>404</v>
      </c>
    </row>
    <row r="60" spans="1:18">
      <c r="A60" s="9" t="s">
        <v>1259</v>
      </c>
      <c r="B60" s="13">
        <v>19</v>
      </c>
      <c r="C60" s="12" t="s">
        <v>904</v>
      </c>
      <c r="D60" s="13" t="s">
        <v>11</v>
      </c>
      <c r="E60" s="12">
        <v>2016</v>
      </c>
      <c r="F60" s="12">
        <v>39</v>
      </c>
      <c r="G60" s="13" t="s">
        <v>1260</v>
      </c>
      <c r="H60" s="13" t="s">
        <v>74</v>
      </c>
      <c r="I60" s="13" t="s">
        <v>75</v>
      </c>
      <c r="J60" s="13" t="s">
        <v>906</v>
      </c>
      <c r="K60" s="13" t="s">
        <v>1261</v>
      </c>
      <c r="L60" s="13" t="s">
        <v>1262</v>
      </c>
      <c r="M60" s="13" t="s">
        <v>909</v>
      </c>
      <c r="N60" s="13" t="s">
        <v>1197</v>
      </c>
      <c r="O60" s="13" t="s">
        <v>1128</v>
      </c>
      <c r="P60" s="13" t="s">
        <v>969</v>
      </c>
      <c r="Q60" s="13" t="s">
        <v>1263</v>
      </c>
      <c r="R60" s="13" t="s">
        <v>75</v>
      </c>
    </row>
    <row r="61" spans="1:18">
      <c r="A61" s="9" t="s">
        <v>1264</v>
      </c>
      <c r="B61" s="13">
        <v>61</v>
      </c>
      <c r="C61" s="12" t="s">
        <v>963</v>
      </c>
      <c r="D61" s="13" t="s">
        <v>11</v>
      </c>
      <c r="E61" s="12">
        <v>2016</v>
      </c>
      <c r="F61" s="12">
        <v>10</v>
      </c>
      <c r="G61" s="13" t="s">
        <v>1015</v>
      </c>
      <c r="H61" s="13" t="s">
        <v>12</v>
      </c>
      <c r="I61" s="13" t="s">
        <v>13</v>
      </c>
      <c r="J61" s="13" t="s">
        <v>906</v>
      </c>
      <c r="K61" s="13" t="s">
        <v>1265</v>
      </c>
      <c r="L61" s="13" t="s">
        <v>1266</v>
      </c>
      <c r="M61" s="13" t="s">
        <v>1082</v>
      </c>
      <c r="N61" s="13" t="s">
        <v>1267</v>
      </c>
      <c r="O61" s="13" t="s">
        <v>1084</v>
      </c>
      <c r="P61" s="13"/>
      <c r="Q61" s="13" t="s">
        <v>1268</v>
      </c>
      <c r="R61" s="13" t="s">
        <v>13</v>
      </c>
    </row>
    <row r="62" spans="1:18">
      <c r="A62" s="9" t="s">
        <v>1269</v>
      </c>
      <c r="B62" s="13">
        <v>62</v>
      </c>
      <c r="C62" s="12" t="s">
        <v>963</v>
      </c>
      <c r="D62" s="13" t="s">
        <v>11</v>
      </c>
      <c r="E62" s="12">
        <v>2016</v>
      </c>
      <c r="F62" s="12">
        <v>4</v>
      </c>
      <c r="G62" s="13" t="s">
        <v>987</v>
      </c>
      <c r="H62" s="13" t="s">
        <v>675</v>
      </c>
      <c r="I62" s="13" t="s">
        <v>676</v>
      </c>
      <c r="J62" s="13" t="s">
        <v>923</v>
      </c>
      <c r="K62" s="13" t="s">
        <v>1270</v>
      </c>
      <c r="L62" s="13" t="s">
        <v>1271</v>
      </c>
      <c r="M62" s="13" t="s">
        <v>926</v>
      </c>
      <c r="N62" s="13" t="s">
        <v>1272</v>
      </c>
      <c r="O62" s="13" t="s">
        <v>959</v>
      </c>
      <c r="P62" s="13" t="s">
        <v>919</v>
      </c>
      <c r="Q62" s="13" t="s">
        <v>1273</v>
      </c>
      <c r="R62" s="13" t="s">
        <v>676</v>
      </c>
    </row>
    <row r="63" spans="1:18">
      <c r="A63" s="9" t="s">
        <v>1274</v>
      </c>
      <c r="B63" s="13">
        <v>63</v>
      </c>
      <c r="C63" s="12" t="s">
        <v>963</v>
      </c>
      <c r="D63" s="13" t="s">
        <v>54</v>
      </c>
      <c r="E63" s="12">
        <v>2016</v>
      </c>
      <c r="F63" s="12">
        <v>49</v>
      </c>
      <c r="G63" s="9" t="s">
        <v>1255</v>
      </c>
      <c r="H63" s="13" t="s">
        <v>391</v>
      </c>
      <c r="I63" s="13" t="s">
        <v>392</v>
      </c>
      <c r="J63" s="13" t="s">
        <v>973</v>
      </c>
      <c r="K63" s="13" t="s">
        <v>1119</v>
      </c>
      <c r="L63" s="13" t="s">
        <v>1275</v>
      </c>
      <c r="M63" s="13" t="s">
        <v>976</v>
      </c>
      <c r="N63" s="13" t="s">
        <v>977</v>
      </c>
      <c r="O63" s="13" t="s">
        <v>978</v>
      </c>
      <c r="P63" s="13" t="s">
        <v>1276</v>
      </c>
      <c r="Q63" s="13" t="s">
        <v>1277</v>
      </c>
      <c r="R63" s="13" t="s">
        <v>392</v>
      </c>
    </row>
    <row r="64" spans="1:18">
      <c r="A64" s="9" t="s">
        <v>1278</v>
      </c>
      <c r="B64" s="13">
        <v>20</v>
      </c>
      <c r="C64" s="12" t="s">
        <v>904</v>
      </c>
      <c r="D64" s="13" t="s">
        <v>11</v>
      </c>
      <c r="E64" s="12">
        <v>2017</v>
      </c>
      <c r="F64" s="12">
        <v>3</v>
      </c>
      <c r="G64" s="13" t="s">
        <v>972</v>
      </c>
      <c r="H64" s="13" t="s">
        <v>677</v>
      </c>
      <c r="I64" s="13" t="s">
        <v>678</v>
      </c>
      <c r="J64" s="13" t="s">
        <v>923</v>
      </c>
      <c r="K64" s="13" t="s">
        <v>1279</v>
      </c>
      <c r="L64" s="13" t="s">
        <v>1280</v>
      </c>
      <c r="M64" s="13" t="s">
        <v>935</v>
      </c>
      <c r="N64" s="13" t="s">
        <v>1281</v>
      </c>
      <c r="O64" s="13" t="s">
        <v>1181</v>
      </c>
      <c r="P64" s="13" t="s">
        <v>1282</v>
      </c>
      <c r="Q64" s="13" t="s">
        <v>1283</v>
      </c>
      <c r="R64" s="13" t="s">
        <v>678</v>
      </c>
    </row>
    <row r="65" spans="1:18">
      <c r="A65" s="9" t="s">
        <v>1284</v>
      </c>
      <c r="B65" s="13">
        <v>21</v>
      </c>
      <c r="C65" s="12" t="s">
        <v>904</v>
      </c>
      <c r="D65" s="13" t="s">
        <v>54</v>
      </c>
      <c r="E65" s="12">
        <v>2017</v>
      </c>
      <c r="F65" s="12">
        <v>25</v>
      </c>
      <c r="G65" s="13" t="s">
        <v>1255</v>
      </c>
      <c r="H65" s="13" t="s">
        <v>364</v>
      </c>
      <c r="I65" s="13" t="s">
        <v>365</v>
      </c>
      <c r="J65" s="13" t="s">
        <v>973</v>
      </c>
      <c r="K65" s="13" t="s">
        <v>1285</v>
      </c>
      <c r="L65" s="13" t="s">
        <v>1286</v>
      </c>
      <c r="M65" s="13" t="s">
        <v>926</v>
      </c>
      <c r="N65" s="13" t="s">
        <v>1287</v>
      </c>
      <c r="O65" s="13" t="s">
        <v>1288</v>
      </c>
      <c r="P65" s="13" t="s">
        <v>1276</v>
      </c>
      <c r="Q65" s="13" t="s">
        <v>1289</v>
      </c>
      <c r="R65" s="13" t="s">
        <v>365</v>
      </c>
    </row>
    <row r="66" spans="1:18">
      <c r="A66" s="9" t="s">
        <v>1290</v>
      </c>
      <c r="B66" s="13">
        <v>22</v>
      </c>
      <c r="C66" s="12" t="s">
        <v>904</v>
      </c>
      <c r="D66" s="13" t="s">
        <v>11</v>
      </c>
      <c r="E66" s="12">
        <v>2017</v>
      </c>
      <c r="F66" s="12">
        <v>15</v>
      </c>
      <c r="G66" s="13" t="s">
        <v>1045</v>
      </c>
      <c r="H66" s="13" t="s">
        <v>827</v>
      </c>
      <c r="I66" s="13" t="s">
        <v>828</v>
      </c>
      <c r="J66" s="13" t="s">
        <v>906</v>
      </c>
      <c r="K66" s="13" t="s">
        <v>1291</v>
      </c>
      <c r="L66" s="13" t="s">
        <v>1292</v>
      </c>
      <c r="M66" s="13" t="s">
        <v>1082</v>
      </c>
      <c r="N66" s="13" t="s">
        <v>1197</v>
      </c>
      <c r="O66" s="13" t="s">
        <v>911</v>
      </c>
      <c r="P66" s="13" t="s">
        <v>1182</v>
      </c>
      <c r="Q66" s="13" t="s">
        <v>1293</v>
      </c>
      <c r="R66" s="13" t="s">
        <v>828</v>
      </c>
    </row>
    <row r="67" spans="1:18">
      <c r="A67" s="9" t="s">
        <v>1294</v>
      </c>
      <c r="B67" s="13">
        <v>64</v>
      </c>
      <c r="C67" s="12" t="s">
        <v>963</v>
      </c>
      <c r="D67" s="13" t="s">
        <v>54</v>
      </c>
      <c r="E67" s="12">
        <v>2017</v>
      </c>
      <c r="F67" s="12">
        <v>19</v>
      </c>
      <c r="G67" s="13" t="s">
        <v>987</v>
      </c>
      <c r="H67" s="13" t="s">
        <v>673</v>
      </c>
      <c r="I67" s="13" t="s">
        <v>674</v>
      </c>
      <c r="J67" s="13" t="s">
        <v>923</v>
      </c>
      <c r="K67" s="13" t="s">
        <v>1295</v>
      </c>
      <c r="L67" s="13" t="s">
        <v>1296</v>
      </c>
      <c r="M67" s="13" t="s">
        <v>926</v>
      </c>
      <c r="N67" s="13"/>
      <c r="O67" s="13" t="s">
        <v>946</v>
      </c>
      <c r="P67" s="13" t="s">
        <v>912</v>
      </c>
      <c r="Q67" s="13" t="s">
        <v>1297</v>
      </c>
      <c r="R67" s="13" t="s">
        <v>674</v>
      </c>
    </row>
    <row r="68" spans="1:18">
      <c r="A68" s="9" t="s">
        <v>1298</v>
      </c>
      <c r="B68" s="13">
        <v>65</v>
      </c>
      <c r="C68" s="12" t="s">
        <v>963</v>
      </c>
      <c r="D68" s="13" t="s">
        <v>11</v>
      </c>
      <c r="E68" s="12">
        <v>2017</v>
      </c>
      <c r="F68" s="12">
        <v>13</v>
      </c>
      <c r="G68" s="13" t="s">
        <v>1164</v>
      </c>
      <c r="H68" s="13" t="s">
        <v>691</v>
      </c>
      <c r="I68" s="13" t="s">
        <v>692</v>
      </c>
      <c r="J68" s="13" t="s">
        <v>923</v>
      </c>
      <c r="K68" s="13" t="s">
        <v>1299</v>
      </c>
      <c r="L68" s="13" t="s">
        <v>1300</v>
      </c>
      <c r="M68" s="13" t="s">
        <v>926</v>
      </c>
      <c r="N68" s="13" t="s">
        <v>1301</v>
      </c>
      <c r="O68" s="13" t="s">
        <v>959</v>
      </c>
      <c r="P68" s="13" t="s">
        <v>969</v>
      </c>
      <c r="Q68" s="13" t="s">
        <v>1302</v>
      </c>
      <c r="R68" s="13" t="s">
        <v>692</v>
      </c>
    </row>
    <row r="69" spans="1:18">
      <c r="A69" s="9" t="s">
        <v>1303</v>
      </c>
      <c r="B69" s="13">
        <v>66</v>
      </c>
      <c r="C69" s="12" t="s">
        <v>963</v>
      </c>
      <c r="D69" s="13" t="s">
        <v>54</v>
      </c>
      <c r="E69" s="12">
        <v>2017</v>
      </c>
      <c r="F69" s="12">
        <v>23</v>
      </c>
      <c r="G69" s="13" t="s">
        <v>942</v>
      </c>
      <c r="H69" s="13" t="s">
        <v>372</v>
      </c>
      <c r="I69" s="13" t="s">
        <v>373</v>
      </c>
      <c r="J69" s="13" t="s">
        <v>973</v>
      </c>
      <c r="K69" s="13" t="s">
        <v>1304</v>
      </c>
      <c r="L69" s="13" t="s">
        <v>1305</v>
      </c>
      <c r="M69" s="13" t="s">
        <v>926</v>
      </c>
      <c r="N69" s="13" t="s">
        <v>1251</v>
      </c>
      <c r="O69" s="13" t="s">
        <v>1225</v>
      </c>
      <c r="P69" s="13" t="s">
        <v>1306</v>
      </c>
      <c r="Q69" s="13" t="s">
        <v>1307</v>
      </c>
      <c r="R69" s="13" t="s">
        <v>373</v>
      </c>
    </row>
    <row r="70" spans="1:18">
      <c r="A70" s="9" t="s">
        <v>1308</v>
      </c>
      <c r="B70" s="13">
        <v>67</v>
      </c>
      <c r="C70" s="12" t="s">
        <v>963</v>
      </c>
      <c r="D70" s="13" t="s">
        <v>11</v>
      </c>
      <c r="E70" s="12">
        <v>2017</v>
      </c>
      <c r="F70" s="12">
        <v>12</v>
      </c>
      <c r="G70" s="13" t="s">
        <v>1309</v>
      </c>
      <c r="H70" s="13" t="s">
        <v>163</v>
      </c>
      <c r="I70" s="13" t="s">
        <v>164</v>
      </c>
      <c r="J70" s="13" t="s">
        <v>906</v>
      </c>
      <c r="K70" s="13" t="s">
        <v>1310</v>
      </c>
      <c r="L70" s="13" t="s">
        <v>1311</v>
      </c>
      <c r="M70" s="13" t="s">
        <v>1048</v>
      </c>
      <c r="N70" s="13" t="s">
        <v>1312</v>
      </c>
      <c r="O70" s="13" t="s">
        <v>1050</v>
      </c>
      <c r="P70" s="13"/>
      <c r="Q70" s="13" t="s">
        <v>1313</v>
      </c>
      <c r="R70" s="13" t="s">
        <v>164</v>
      </c>
    </row>
    <row r="71" spans="1:18">
      <c r="A71" s="9" t="s">
        <v>1314</v>
      </c>
      <c r="B71" s="13">
        <v>68</v>
      </c>
      <c r="C71" s="12" t="s">
        <v>963</v>
      </c>
      <c r="D71" s="13" t="s">
        <v>11</v>
      </c>
      <c r="E71" s="12">
        <v>2017</v>
      </c>
      <c r="F71" s="12">
        <v>37</v>
      </c>
      <c r="G71" s="13" t="s">
        <v>1148</v>
      </c>
      <c r="H71" s="13" t="s">
        <v>825</v>
      </c>
      <c r="I71" s="13" t="s">
        <v>826</v>
      </c>
      <c r="J71" s="13" t="s">
        <v>906</v>
      </c>
      <c r="K71" s="13" t="s">
        <v>1315</v>
      </c>
      <c r="L71" s="13" t="s">
        <v>1316</v>
      </c>
      <c r="M71" s="13" t="s">
        <v>926</v>
      </c>
      <c r="N71" s="13" t="s">
        <v>1317</v>
      </c>
      <c r="O71" s="13" t="s">
        <v>1019</v>
      </c>
      <c r="P71" s="13" t="s">
        <v>912</v>
      </c>
      <c r="Q71" s="13" t="s">
        <v>1318</v>
      </c>
      <c r="R71" s="13" t="s">
        <v>826</v>
      </c>
    </row>
    <row r="72" spans="1:18">
      <c r="A72" s="9" t="s">
        <v>1319</v>
      </c>
      <c r="B72" s="13">
        <v>93</v>
      </c>
      <c r="C72" s="12" t="s">
        <v>986</v>
      </c>
      <c r="D72" s="13" t="s">
        <v>11</v>
      </c>
      <c r="E72" s="12">
        <v>2017</v>
      </c>
      <c r="F72" s="12">
        <v>6</v>
      </c>
      <c r="G72" s="13" t="s">
        <v>1015</v>
      </c>
      <c r="H72" s="13" t="s">
        <v>584</v>
      </c>
      <c r="I72" s="13" t="s">
        <v>585</v>
      </c>
      <c r="J72" s="13" t="s">
        <v>923</v>
      </c>
      <c r="K72" s="13" t="s">
        <v>1215</v>
      </c>
      <c r="L72" s="13" t="s">
        <v>1320</v>
      </c>
      <c r="M72" s="13" t="s">
        <v>926</v>
      </c>
      <c r="N72" s="13" t="s">
        <v>1321</v>
      </c>
      <c r="O72" s="13" t="s">
        <v>959</v>
      </c>
      <c r="P72" s="13" t="s">
        <v>1218</v>
      </c>
      <c r="Q72" s="13" t="s">
        <v>1322</v>
      </c>
      <c r="R72" s="13" t="s">
        <v>585</v>
      </c>
    </row>
    <row r="73" spans="1:18">
      <c r="A73" s="9" t="s">
        <v>1323</v>
      </c>
      <c r="B73" s="13">
        <v>94</v>
      </c>
      <c r="C73" s="12" t="s">
        <v>986</v>
      </c>
      <c r="D73" s="13" t="s">
        <v>54</v>
      </c>
      <c r="E73" s="12">
        <v>2017</v>
      </c>
      <c r="F73" s="12">
        <v>61</v>
      </c>
      <c r="G73" s="13" t="s">
        <v>942</v>
      </c>
      <c r="H73" s="13" t="s">
        <v>875</v>
      </c>
      <c r="I73" s="13" t="s">
        <v>876</v>
      </c>
      <c r="J73" s="13" t="s">
        <v>1324</v>
      </c>
      <c r="K73" s="13" t="s">
        <v>1325</v>
      </c>
      <c r="L73" s="13" t="s">
        <v>1326</v>
      </c>
      <c r="M73" s="13" t="s">
        <v>909</v>
      </c>
      <c r="N73" s="13" t="s">
        <v>1197</v>
      </c>
      <c r="O73" s="13" t="s">
        <v>1042</v>
      </c>
      <c r="P73" s="13" t="s">
        <v>1327</v>
      </c>
      <c r="Q73" s="13" t="s">
        <v>1328</v>
      </c>
      <c r="R73" s="13" t="s">
        <v>876</v>
      </c>
    </row>
    <row r="74" s="9" customFormat="1" spans="1:18">
      <c r="A74" s="9" t="s">
        <v>1329</v>
      </c>
      <c r="B74" s="13">
        <v>95</v>
      </c>
      <c r="C74" s="12" t="s">
        <v>986</v>
      </c>
      <c r="D74" s="13" t="s">
        <v>941</v>
      </c>
      <c r="E74" s="12">
        <v>2017</v>
      </c>
      <c r="F74" s="12">
        <v>96</v>
      </c>
      <c r="G74" s="13" t="s">
        <v>1330</v>
      </c>
      <c r="H74" s="13" t="s">
        <v>833</v>
      </c>
      <c r="I74" s="13" t="s">
        <v>834</v>
      </c>
      <c r="J74" s="13" t="s">
        <v>906</v>
      </c>
      <c r="K74" s="13" t="s">
        <v>1331</v>
      </c>
      <c r="L74" s="13" t="s">
        <v>1332</v>
      </c>
      <c r="M74" s="13" t="s">
        <v>1002</v>
      </c>
      <c r="N74" s="13" t="s">
        <v>910</v>
      </c>
      <c r="O74" s="9" t="s">
        <v>1333</v>
      </c>
      <c r="P74" s="13" t="s">
        <v>996</v>
      </c>
      <c r="Q74" s="13" t="s">
        <v>1334</v>
      </c>
      <c r="R74" s="13" t="s">
        <v>834</v>
      </c>
    </row>
    <row r="75" spans="1:18">
      <c r="A75" s="9" t="s">
        <v>1335</v>
      </c>
      <c r="B75" s="13">
        <v>69</v>
      </c>
      <c r="C75" s="12" t="s">
        <v>963</v>
      </c>
      <c r="D75" s="13" t="s">
        <v>54</v>
      </c>
      <c r="E75" s="12">
        <v>2018</v>
      </c>
      <c r="F75" s="12">
        <v>51</v>
      </c>
      <c r="G75" s="13" t="s">
        <v>1027</v>
      </c>
      <c r="H75" s="13" t="s">
        <v>851</v>
      </c>
      <c r="I75" s="13" t="s">
        <v>852</v>
      </c>
      <c r="J75" s="13" t="s">
        <v>923</v>
      </c>
      <c r="K75" s="13" t="s">
        <v>1336</v>
      </c>
      <c r="L75" s="13" t="s">
        <v>1337</v>
      </c>
      <c r="M75" s="13" t="s">
        <v>926</v>
      </c>
      <c r="N75" s="13" t="s">
        <v>1338</v>
      </c>
      <c r="O75" s="13" t="s">
        <v>959</v>
      </c>
      <c r="P75" s="13" t="s">
        <v>919</v>
      </c>
      <c r="Q75" s="13" t="s">
        <v>1339</v>
      </c>
      <c r="R75" s="13" t="s">
        <v>852</v>
      </c>
    </row>
    <row r="76" s="9" customFormat="1" spans="1:18">
      <c r="A76" s="9" t="s">
        <v>1340</v>
      </c>
      <c r="B76" s="13">
        <v>96</v>
      </c>
      <c r="C76" s="12" t="s">
        <v>986</v>
      </c>
      <c r="D76" s="13" t="s">
        <v>11</v>
      </c>
      <c r="E76" s="12">
        <v>2018</v>
      </c>
      <c r="F76" s="12">
        <v>37</v>
      </c>
      <c r="G76" s="13" t="s">
        <v>1341</v>
      </c>
      <c r="H76" s="13" t="s">
        <v>26</v>
      </c>
      <c r="I76" s="13" t="s">
        <v>27</v>
      </c>
      <c r="J76" s="13" t="s">
        <v>906</v>
      </c>
      <c r="K76" s="13" t="s">
        <v>1342</v>
      </c>
      <c r="L76" s="13" t="s">
        <v>1343</v>
      </c>
      <c r="M76" s="13" t="s">
        <v>909</v>
      </c>
      <c r="N76" s="13" t="s">
        <v>910</v>
      </c>
      <c r="O76" s="13" t="s">
        <v>1344</v>
      </c>
      <c r="P76" s="13" t="s">
        <v>1345</v>
      </c>
      <c r="Q76" s="13" t="s">
        <v>1346</v>
      </c>
      <c r="R76" s="13" t="s">
        <v>27</v>
      </c>
    </row>
    <row r="77" spans="1:18">
      <c r="A77" s="9" t="s">
        <v>1347</v>
      </c>
      <c r="B77" s="13">
        <v>23</v>
      </c>
      <c r="C77" s="12" t="s">
        <v>904</v>
      </c>
      <c r="D77" s="13" t="s">
        <v>54</v>
      </c>
      <c r="E77" s="12">
        <v>2019</v>
      </c>
      <c r="F77" s="12">
        <v>36</v>
      </c>
      <c r="G77" s="13" t="s">
        <v>942</v>
      </c>
      <c r="H77" s="13" t="s">
        <v>376</v>
      </c>
      <c r="I77" s="13" t="s">
        <v>377</v>
      </c>
      <c r="J77" s="13" t="s">
        <v>973</v>
      </c>
      <c r="K77" s="13" t="s">
        <v>1348</v>
      </c>
      <c r="L77" s="13" t="s">
        <v>1349</v>
      </c>
      <c r="M77" s="13" t="s">
        <v>909</v>
      </c>
      <c r="N77" s="13" t="s">
        <v>1350</v>
      </c>
      <c r="O77" s="13" t="s">
        <v>1042</v>
      </c>
      <c r="P77" s="13" t="s">
        <v>996</v>
      </c>
      <c r="Q77" s="13" t="s">
        <v>1351</v>
      </c>
      <c r="R77" s="13" t="s">
        <v>377</v>
      </c>
    </row>
    <row r="78" spans="1:18">
      <c r="A78" s="9" t="s">
        <v>1352</v>
      </c>
      <c r="B78" s="13">
        <v>70</v>
      </c>
      <c r="C78" s="12" t="s">
        <v>963</v>
      </c>
      <c r="D78" s="13" t="s">
        <v>11</v>
      </c>
      <c r="E78" s="12">
        <v>2019</v>
      </c>
      <c r="F78" s="12">
        <v>11</v>
      </c>
      <c r="G78" s="13" t="s">
        <v>1353</v>
      </c>
      <c r="H78" s="13" t="s">
        <v>592</v>
      </c>
      <c r="I78" s="13" t="s">
        <v>593</v>
      </c>
      <c r="J78" s="13" t="s">
        <v>923</v>
      </c>
      <c r="K78" s="13" t="s">
        <v>1354</v>
      </c>
      <c r="L78" s="13" t="s">
        <v>1355</v>
      </c>
      <c r="M78" s="13" t="s">
        <v>926</v>
      </c>
      <c r="N78" s="13" t="s">
        <v>1356</v>
      </c>
      <c r="O78" s="13" t="s">
        <v>1161</v>
      </c>
      <c r="P78" s="13"/>
      <c r="Q78" s="13" t="s">
        <v>1357</v>
      </c>
      <c r="R78" s="13" t="s">
        <v>593</v>
      </c>
    </row>
    <row r="79" spans="1:18">
      <c r="A79" s="9" t="s">
        <v>1358</v>
      </c>
      <c r="B79" s="13">
        <v>71</v>
      </c>
      <c r="C79" s="12" t="s">
        <v>963</v>
      </c>
      <c r="D79" s="13" t="s">
        <v>11</v>
      </c>
      <c r="E79" s="12">
        <v>2019</v>
      </c>
      <c r="F79" s="12">
        <v>24</v>
      </c>
      <c r="G79" s="13" t="s">
        <v>1027</v>
      </c>
      <c r="H79" s="13" t="s">
        <v>636</v>
      </c>
      <c r="I79" s="13" t="s">
        <v>637</v>
      </c>
      <c r="J79" s="13" t="s">
        <v>923</v>
      </c>
      <c r="K79" s="13" t="s">
        <v>1359</v>
      </c>
      <c r="L79" s="13" t="s">
        <v>1360</v>
      </c>
      <c r="M79" s="13" t="s">
        <v>1082</v>
      </c>
      <c r="N79" s="13" t="s">
        <v>1361</v>
      </c>
      <c r="O79" s="13" t="s">
        <v>1011</v>
      </c>
      <c r="P79" s="13"/>
      <c r="Q79" s="13" t="s">
        <v>1362</v>
      </c>
      <c r="R79" s="13" t="s">
        <v>637</v>
      </c>
    </row>
    <row r="80" spans="1:18">
      <c r="A80" s="9" t="s">
        <v>1363</v>
      </c>
      <c r="B80" s="13">
        <v>72</v>
      </c>
      <c r="C80" s="12" t="s">
        <v>963</v>
      </c>
      <c r="D80" s="13" t="s">
        <v>54</v>
      </c>
      <c r="E80" s="12">
        <v>2019</v>
      </c>
      <c r="F80" s="12">
        <v>14</v>
      </c>
      <c r="G80" s="13" t="s">
        <v>1364</v>
      </c>
      <c r="H80" s="13" t="s">
        <v>344</v>
      </c>
      <c r="I80" s="13" t="s">
        <v>345</v>
      </c>
      <c r="J80" s="13" t="s">
        <v>973</v>
      </c>
      <c r="K80" s="13" t="s">
        <v>1028</v>
      </c>
      <c r="L80" s="13" t="s">
        <v>1365</v>
      </c>
      <c r="M80" s="13" t="s">
        <v>909</v>
      </c>
      <c r="N80" s="13" t="s">
        <v>1366</v>
      </c>
      <c r="O80" s="13" t="s">
        <v>1128</v>
      </c>
      <c r="P80" s="13"/>
      <c r="Q80" s="13" t="s">
        <v>1367</v>
      </c>
      <c r="R80" s="13" t="s">
        <v>345</v>
      </c>
    </row>
    <row r="81" spans="1:18">
      <c r="A81" s="9" t="s">
        <v>1368</v>
      </c>
      <c r="B81" s="13">
        <v>73</v>
      </c>
      <c r="C81" s="12" t="s">
        <v>963</v>
      </c>
      <c r="D81" s="13" t="s">
        <v>941</v>
      </c>
      <c r="E81" s="12">
        <v>2019</v>
      </c>
      <c r="F81" s="12">
        <v>13</v>
      </c>
      <c r="G81" s="13" t="s">
        <v>1027</v>
      </c>
      <c r="H81" s="13" t="s">
        <v>413</v>
      </c>
      <c r="I81" s="13" t="s">
        <v>414</v>
      </c>
      <c r="J81" s="13" t="s">
        <v>973</v>
      </c>
      <c r="K81" s="13" t="s">
        <v>1369</v>
      </c>
      <c r="L81" s="13" t="s">
        <v>1370</v>
      </c>
      <c r="M81" s="13" t="s">
        <v>926</v>
      </c>
      <c r="N81" s="13" t="s">
        <v>1371</v>
      </c>
      <c r="O81" s="13" t="s">
        <v>928</v>
      </c>
      <c r="P81" s="13" t="s">
        <v>1372</v>
      </c>
      <c r="Q81" s="13" t="s">
        <v>1373</v>
      </c>
      <c r="R81" s="13" t="s">
        <v>414</v>
      </c>
    </row>
    <row r="82" spans="1:18">
      <c r="A82" s="9" t="s">
        <v>1374</v>
      </c>
      <c r="B82" s="13">
        <v>74</v>
      </c>
      <c r="C82" s="12" t="s">
        <v>963</v>
      </c>
      <c r="D82" s="13" t="s">
        <v>11</v>
      </c>
      <c r="E82" s="12">
        <v>2019</v>
      </c>
      <c r="F82" s="12">
        <v>27</v>
      </c>
      <c r="G82" s="13" t="s">
        <v>1375</v>
      </c>
      <c r="H82" s="13" t="s">
        <v>68</v>
      </c>
      <c r="I82" s="13" t="s">
        <v>69</v>
      </c>
      <c r="J82" s="13" t="s">
        <v>1007</v>
      </c>
      <c r="K82" s="13" t="s">
        <v>1376</v>
      </c>
      <c r="L82" s="13" t="s">
        <v>1377</v>
      </c>
      <c r="M82" s="13" t="s">
        <v>1082</v>
      </c>
      <c r="N82" s="13" t="s">
        <v>1378</v>
      </c>
      <c r="O82" s="13" t="s">
        <v>1065</v>
      </c>
      <c r="P82" s="13"/>
      <c r="Q82" s="13" t="s">
        <v>1379</v>
      </c>
      <c r="R82" s="13" t="s">
        <v>69</v>
      </c>
    </row>
    <row r="83" spans="1:18">
      <c r="A83" s="9" t="s">
        <v>1380</v>
      </c>
      <c r="B83" s="13">
        <v>75</v>
      </c>
      <c r="C83" s="12" t="s">
        <v>963</v>
      </c>
      <c r="D83" s="13" t="s">
        <v>11</v>
      </c>
      <c r="E83" s="12">
        <v>2019</v>
      </c>
      <c r="F83" s="12">
        <v>39</v>
      </c>
      <c r="G83" s="13" t="s">
        <v>1381</v>
      </c>
      <c r="H83" s="13" t="s">
        <v>72</v>
      </c>
      <c r="I83" s="13" t="s">
        <v>73</v>
      </c>
      <c r="J83" s="13" t="s">
        <v>906</v>
      </c>
      <c r="K83" s="13" t="s">
        <v>1382</v>
      </c>
      <c r="L83" s="13" t="s">
        <v>1383</v>
      </c>
      <c r="M83" s="13" t="s">
        <v>926</v>
      </c>
      <c r="N83" s="13" t="s">
        <v>1384</v>
      </c>
      <c r="O83" s="13" t="s">
        <v>1385</v>
      </c>
      <c r="P83" s="13"/>
      <c r="Q83" s="13" t="s">
        <v>1386</v>
      </c>
      <c r="R83" s="13" t="s">
        <v>73</v>
      </c>
    </row>
    <row r="84" spans="1:18">
      <c r="A84" s="9" t="s">
        <v>1387</v>
      </c>
      <c r="B84" s="13">
        <v>76</v>
      </c>
      <c r="C84" s="12" t="s">
        <v>963</v>
      </c>
      <c r="D84" s="13" t="s">
        <v>11</v>
      </c>
      <c r="E84" s="12">
        <v>2019</v>
      </c>
      <c r="F84" s="12">
        <v>15</v>
      </c>
      <c r="G84" s="13" t="s">
        <v>1164</v>
      </c>
      <c r="H84" s="13" t="s">
        <v>126</v>
      </c>
      <c r="I84" s="13" t="s">
        <v>127</v>
      </c>
      <c r="J84" s="13" t="s">
        <v>906</v>
      </c>
      <c r="K84" s="13" t="s">
        <v>1388</v>
      </c>
      <c r="L84" s="13" t="s">
        <v>1389</v>
      </c>
      <c r="M84" s="13" t="s">
        <v>976</v>
      </c>
      <c r="N84" s="13" t="s">
        <v>1390</v>
      </c>
      <c r="O84" s="13" t="s">
        <v>978</v>
      </c>
      <c r="P84" s="13" t="s">
        <v>969</v>
      </c>
      <c r="Q84" s="13" t="s">
        <v>1391</v>
      </c>
      <c r="R84" s="13" t="s">
        <v>127</v>
      </c>
    </row>
    <row r="85" spans="1:18">
      <c r="A85" s="9" t="s">
        <v>1392</v>
      </c>
      <c r="B85" s="13">
        <v>77</v>
      </c>
      <c r="C85" s="12" t="s">
        <v>963</v>
      </c>
      <c r="D85" s="13" t="s">
        <v>54</v>
      </c>
      <c r="E85" s="12">
        <v>2019</v>
      </c>
      <c r="F85" s="12">
        <v>49</v>
      </c>
      <c r="G85" s="13" t="s">
        <v>1045</v>
      </c>
      <c r="H85" s="13" t="s">
        <v>813</v>
      </c>
      <c r="I85" s="13" t="s">
        <v>814</v>
      </c>
      <c r="J85" s="13" t="s">
        <v>1324</v>
      </c>
      <c r="K85" s="13" t="s">
        <v>1393</v>
      </c>
      <c r="L85" s="13" t="s">
        <v>1394</v>
      </c>
      <c r="M85" s="13" t="s">
        <v>926</v>
      </c>
      <c r="N85" s="13" t="s">
        <v>910</v>
      </c>
      <c r="O85" s="13" t="s">
        <v>1011</v>
      </c>
      <c r="P85" s="13"/>
      <c r="Q85" s="13" t="s">
        <v>1395</v>
      </c>
      <c r="R85" s="13" t="s">
        <v>814</v>
      </c>
    </row>
    <row r="86" spans="1:18">
      <c r="A86" s="9" t="s">
        <v>1396</v>
      </c>
      <c r="B86" s="13">
        <v>97</v>
      </c>
      <c r="C86" s="12" t="s">
        <v>986</v>
      </c>
      <c r="D86" s="13" t="s">
        <v>54</v>
      </c>
      <c r="E86" s="12">
        <v>2019</v>
      </c>
      <c r="F86" s="12">
        <v>24</v>
      </c>
      <c r="G86" s="13" t="s">
        <v>987</v>
      </c>
      <c r="H86" s="13" t="s">
        <v>574</v>
      </c>
      <c r="I86" s="13" t="s">
        <v>575</v>
      </c>
      <c r="J86" s="13" t="s">
        <v>923</v>
      </c>
      <c r="K86" s="13" t="s">
        <v>924</v>
      </c>
      <c r="L86" s="13" t="s">
        <v>1397</v>
      </c>
      <c r="M86" s="13" t="s">
        <v>926</v>
      </c>
      <c r="N86" s="13" t="s">
        <v>1398</v>
      </c>
      <c r="O86" s="13" t="s">
        <v>1011</v>
      </c>
      <c r="P86" s="13" t="s">
        <v>1116</v>
      </c>
      <c r="Q86" s="13" t="s">
        <v>1399</v>
      </c>
      <c r="R86" s="13" t="s">
        <v>575</v>
      </c>
    </row>
    <row r="87" spans="1:18">
      <c r="A87" s="9" t="s">
        <v>1400</v>
      </c>
      <c r="B87" s="13">
        <v>106</v>
      </c>
      <c r="C87" s="12" t="s">
        <v>999</v>
      </c>
      <c r="D87" s="13" t="s">
        <v>54</v>
      </c>
      <c r="E87" s="12">
        <v>2019</v>
      </c>
      <c r="F87" s="12">
        <v>33</v>
      </c>
      <c r="G87" s="13" t="s">
        <v>1401</v>
      </c>
      <c r="H87" s="13" t="s">
        <v>572</v>
      </c>
      <c r="I87" s="13" t="s">
        <v>573</v>
      </c>
      <c r="J87" s="13" t="s">
        <v>923</v>
      </c>
      <c r="K87" s="13" t="s">
        <v>1336</v>
      </c>
      <c r="L87" s="13" t="s">
        <v>1402</v>
      </c>
      <c r="M87" s="13" t="s">
        <v>1002</v>
      </c>
      <c r="N87" s="13" t="s">
        <v>1197</v>
      </c>
      <c r="O87" s="13" t="s">
        <v>1333</v>
      </c>
      <c r="P87" s="13"/>
      <c r="Q87" s="13" t="s">
        <v>1403</v>
      </c>
      <c r="R87" s="13" t="s">
        <v>573</v>
      </c>
    </row>
    <row r="88" spans="1:18">
      <c r="A88" s="9" t="s">
        <v>1404</v>
      </c>
      <c r="B88" s="13">
        <v>24</v>
      </c>
      <c r="C88" s="12" t="s">
        <v>904</v>
      </c>
      <c r="D88" s="13" t="s">
        <v>54</v>
      </c>
      <c r="E88" s="12">
        <v>2020</v>
      </c>
      <c r="F88" s="12">
        <v>21</v>
      </c>
      <c r="G88" s="13" t="s">
        <v>972</v>
      </c>
      <c r="H88" s="13" t="s">
        <v>699</v>
      </c>
      <c r="I88" s="13" t="s">
        <v>700</v>
      </c>
      <c r="J88" s="13" t="s">
        <v>923</v>
      </c>
      <c r="K88" s="13" t="s">
        <v>1405</v>
      </c>
      <c r="L88" s="13" t="s">
        <v>1406</v>
      </c>
      <c r="M88" s="13" t="s">
        <v>935</v>
      </c>
      <c r="N88" s="13" t="s">
        <v>1407</v>
      </c>
      <c r="O88" s="13" t="s">
        <v>1181</v>
      </c>
      <c r="P88" s="13" t="s">
        <v>1282</v>
      </c>
      <c r="Q88" s="13" t="s">
        <v>1408</v>
      </c>
      <c r="R88" s="13" t="s">
        <v>700</v>
      </c>
    </row>
    <row r="89" s="9" customFormat="1" spans="1:18">
      <c r="A89" s="9" t="s">
        <v>1409</v>
      </c>
      <c r="B89" s="13">
        <v>78</v>
      </c>
      <c r="C89" s="12" t="s">
        <v>963</v>
      </c>
      <c r="D89" s="13" t="s">
        <v>11</v>
      </c>
      <c r="E89" s="12">
        <v>2020</v>
      </c>
      <c r="F89" s="12">
        <v>5</v>
      </c>
      <c r="G89" s="13" t="s">
        <v>972</v>
      </c>
      <c r="H89" s="13" t="s">
        <v>634</v>
      </c>
      <c r="I89" s="13" t="s">
        <v>635</v>
      </c>
      <c r="J89" s="13" t="s">
        <v>923</v>
      </c>
      <c r="K89" s="13" t="s">
        <v>1410</v>
      </c>
      <c r="L89" s="13" t="s">
        <v>1411</v>
      </c>
      <c r="M89" s="13" t="s">
        <v>1082</v>
      </c>
      <c r="N89" s="13" t="s">
        <v>1412</v>
      </c>
      <c r="O89" s="13" t="s">
        <v>959</v>
      </c>
      <c r="P89" s="13"/>
      <c r="Q89" s="13" t="s">
        <v>1413</v>
      </c>
      <c r="R89" s="13" t="s">
        <v>635</v>
      </c>
    </row>
    <row r="90" spans="1:18">
      <c r="A90" s="9" t="s">
        <v>1414</v>
      </c>
      <c r="B90" s="13">
        <v>25</v>
      </c>
      <c r="C90" s="12" t="s">
        <v>904</v>
      </c>
      <c r="D90" s="13" t="s">
        <v>11</v>
      </c>
      <c r="E90" s="12">
        <v>2021</v>
      </c>
      <c r="F90" s="12">
        <v>1</v>
      </c>
      <c r="G90" s="13" t="s">
        <v>932</v>
      </c>
      <c r="H90" s="13" t="s">
        <v>656</v>
      </c>
      <c r="I90" s="13" t="s">
        <v>657</v>
      </c>
      <c r="J90" s="13" t="s">
        <v>923</v>
      </c>
      <c r="K90" s="13" t="s">
        <v>1415</v>
      </c>
      <c r="L90" s="13" t="s">
        <v>1416</v>
      </c>
      <c r="M90" s="13" t="s">
        <v>935</v>
      </c>
      <c r="N90" s="13" t="s">
        <v>1417</v>
      </c>
      <c r="O90" s="13" t="s">
        <v>1011</v>
      </c>
      <c r="P90" s="13" t="s">
        <v>1418</v>
      </c>
      <c r="Q90" s="13" t="s">
        <v>1419</v>
      </c>
      <c r="R90" s="13" t="s">
        <v>657</v>
      </c>
    </row>
    <row r="91" spans="1:18">
      <c r="A91" s="9" t="s">
        <v>1420</v>
      </c>
      <c r="B91" s="13">
        <v>26</v>
      </c>
      <c r="C91" s="12" t="s">
        <v>904</v>
      </c>
      <c r="D91" s="13" t="s">
        <v>54</v>
      </c>
      <c r="E91" s="12">
        <v>2021</v>
      </c>
      <c r="F91" s="12">
        <v>30</v>
      </c>
      <c r="G91" s="13" t="s">
        <v>972</v>
      </c>
      <c r="H91" s="13" t="s">
        <v>717</v>
      </c>
      <c r="I91" s="13" t="s">
        <v>718</v>
      </c>
      <c r="J91" s="13" t="s">
        <v>923</v>
      </c>
      <c r="K91" s="13" t="s">
        <v>924</v>
      </c>
      <c r="L91" s="13" t="s">
        <v>1421</v>
      </c>
      <c r="M91" s="13" t="s">
        <v>926</v>
      </c>
      <c r="N91" s="13" t="s">
        <v>1422</v>
      </c>
      <c r="O91" s="13" t="s">
        <v>1423</v>
      </c>
      <c r="P91" s="13" t="s">
        <v>960</v>
      </c>
      <c r="Q91" s="13" t="s">
        <v>1424</v>
      </c>
      <c r="R91" s="13" t="s">
        <v>718</v>
      </c>
    </row>
    <row r="92" spans="1:18">
      <c r="A92" s="9" t="s">
        <v>1425</v>
      </c>
      <c r="B92" s="13">
        <v>79</v>
      </c>
      <c r="C92" s="12" t="s">
        <v>963</v>
      </c>
      <c r="D92" s="13" t="s">
        <v>941</v>
      </c>
      <c r="E92" s="12">
        <v>2021</v>
      </c>
      <c r="F92" s="12">
        <v>5</v>
      </c>
      <c r="G92" s="13" t="s">
        <v>1426</v>
      </c>
      <c r="H92" s="13" t="s">
        <v>415</v>
      </c>
      <c r="I92" s="13" t="s">
        <v>416</v>
      </c>
      <c r="J92" s="13" t="s">
        <v>973</v>
      </c>
      <c r="K92" s="13" t="s">
        <v>1427</v>
      </c>
      <c r="L92" s="13" t="s">
        <v>1428</v>
      </c>
      <c r="M92" s="13" t="s">
        <v>926</v>
      </c>
      <c r="N92" s="13" t="s">
        <v>1429</v>
      </c>
      <c r="O92" s="13" t="s">
        <v>1430</v>
      </c>
      <c r="P92" s="13"/>
      <c r="Q92" s="13" t="s">
        <v>1431</v>
      </c>
      <c r="R92" s="13" t="s">
        <v>416</v>
      </c>
    </row>
    <row r="93" spans="1:18">
      <c r="A93" s="9" t="s">
        <v>1432</v>
      </c>
      <c r="B93" s="13">
        <v>80</v>
      </c>
      <c r="C93" s="12" t="s">
        <v>963</v>
      </c>
      <c r="D93" s="13" t="s">
        <v>11</v>
      </c>
      <c r="E93" s="12">
        <v>2021</v>
      </c>
      <c r="F93" s="12">
        <v>6</v>
      </c>
      <c r="G93" s="13" t="s">
        <v>1433</v>
      </c>
      <c r="H93" s="13" t="s">
        <v>843</v>
      </c>
      <c r="I93" s="13" t="s">
        <v>844</v>
      </c>
      <c r="J93" s="13" t="s">
        <v>906</v>
      </c>
      <c r="K93" s="13" t="s">
        <v>1434</v>
      </c>
      <c r="L93" s="13" t="s">
        <v>1435</v>
      </c>
      <c r="M93" s="13" t="s">
        <v>926</v>
      </c>
      <c r="N93" s="13" t="s">
        <v>1436</v>
      </c>
      <c r="O93" s="13" t="s">
        <v>959</v>
      </c>
      <c r="P93" s="13" t="s">
        <v>1437</v>
      </c>
      <c r="Q93" s="13" t="s">
        <v>1438</v>
      </c>
      <c r="R93" s="13" t="s">
        <v>844</v>
      </c>
    </row>
    <row r="94" spans="1:18">
      <c r="A94" s="9" t="s">
        <v>1439</v>
      </c>
      <c r="B94" s="13">
        <v>81</v>
      </c>
      <c r="C94" s="12" t="s">
        <v>963</v>
      </c>
      <c r="D94" s="13" t="s">
        <v>11</v>
      </c>
      <c r="E94" s="12">
        <v>2021</v>
      </c>
      <c r="F94" s="12">
        <v>13</v>
      </c>
      <c r="G94" s="13" t="s">
        <v>905</v>
      </c>
      <c r="H94" s="13" t="s">
        <v>855</v>
      </c>
      <c r="I94" s="13" t="s">
        <v>856</v>
      </c>
      <c r="J94" s="13" t="s">
        <v>906</v>
      </c>
      <c r="K94" s="13" t="s">
        <v>1440</v>
      </c>
      <c r="L94" s="13" t="s">
        <v>1441</v>
      </c>
      <c r="M94" s="13" t="s">
        <v>976</v>
      </c>
      <c r="N94" s="13" t="s">
        <v>1442</v>
      </c>
      <c r="O94" s="13" t="s">
        <v>1443</v>
      </c>
      <c r="P94" s="13"/>
      <c r="Q94" s="13" t="s">
        <v>1444</v>
      </c>
      <c r="R94" s="13" t="s">
        <v>856</v>
      </c>
    </row>
    <row r="95" spans="1:18">
      <c r="A95" s="9" t="s">
        <v>1445</v>
      </c>
      <c r="B95" s="13">
        <v>107</v>
      </c>
      <c r="C95" s="12" t="s">
        <v>999</v>
      </c>
      <c r="D95" s="13" t="s">
        <v>11</v>
      </c>
      <c r="E95" s="12">
        <v>2021</v>
      </c>
      <c r="F95" s="12">
        <v>10</v>
      </c>
      <c r="G95" s="13" t="s">
        <v>905</v>
      </c>
      <c r="H95" s="13" t="s">
        <v>809</v>
      </c>
      <c r="I95" s="13" t="s">
        <v>810</v>
      </c>
      <c r="J95" s="13" t="s">
        <v>906</v>
      </c>
      <c r="K95" s="13" t="s">
        <v>1440</v>
      </c>
      <c r="L95" s="13" t="s">
        <v>1446</v>
      </c>
      <c r="M95" s="13" t="s">
        <v>1002</v>
      </c>
      <c r="N95" s="13" t="s">
        <v>1350</v>
      </c>
      <c r="O95" s="13" t="s">
        <v>1004</v>
      </c>
      <c r="P95" s="13"/>
      <c r="Q95" s="13" t="s">
        <v>1447</v>
      </c>
      <c r="R95" s="13" t="s">
        <v>810</v>
      </c>
    </row>
    <row r="96" spans="1:18">
      <c r="A96" s="9" t="s">
        <v>1448</v>
      </c>
      <c r="B96" s="13">
        <v>82</v>
      </c>
      <c r="C96" s="12" t="s">
        <v>963</v>
      </c>
      <c r="D96" s="13" t="s">
        <v>11</v>
      </c>
      <c r="E96" s="12">
        <v>2022</v>
      </c>
      <c r="F96" s="12">
        <v>11</v>
      </c>
      <c r="G96" s="13" t="s">
        <v>987</v>
      </c>
      <c r="H96" s="13" t="s">
        <v>128</v>
      </c>
      <c r="I96" s="13" t="s">
        <v>129</v>
      </c>
      <c r="J96" s="13" t="s">
        <v>1007</v>
      </c>
      <c r="K96" s="13" t="s">
        <v>1449</v>
      </c>
      <c r="L96" s="13" t="s">
        <v>1450</v>
      </c>
      <c r="M96" s="13" t="s">
        <v>1082</v>
      </c>
      <c r="N96" s="13" t="s">
        <v>1451</v>
      </c>
      <c r="O96" s="13" t="s">
        <v>1065</v>
      </c>
      <c r="P96" s="13"/>
      <c r="Q96" s="13" t="s">
        <v>1452</v>
      </c>
      <c r="R96" s="13" t="s">
        <v>129</v>
      </c>
    </row>
    <row r="97" spans="1:18">
      <c r="A97" s="9" t="s">
        <v>1453</v>
      </c>
      <c r="B97" s="13">
        <v>98</v>
      </c>
      <c r="C97" s="12" t="s">
        <v>986</v>
      </c>
      <c r="D97" s="13" t="s">
        <v>54</v>
      </c>
      <c r="E97" s="12">
        <v>2022</v>
      </c>
      <c r="F97" s="12">
        <v>7</v>
      </c>
      <c r="G97" s="13" t="s">
        <v>942</v>
      </c>
      <c r="H97" s="13" t="s">
        <v>385</v>
      </c>
      <c r="I97" s="13" t="s">
        <v>386</v>
      </c>
      <c r="J97" s="13" t="s">
        <v>973</v>
      </c>
      <c r="K97" s="13" t="s">
        <v>1454</v>
      </c>
      <c r="L97" s="13" t="s">
        <v>1455</v>
      </c>
      <c r="M97" s="13" t="s">
        <v>1070</v>
      </c>
      <c r="N97" s="13" t="s">
        <v>977</v>
      </c>
      <c r="O97" s="13" t="s">
        <v>1161</v>
      </c>
      <c r="P97" s="13" t="s">
        <v>1456</v>
      </c>
      <c r="Q97" s="13" t="s">
        <v>1457</v>
      </c>
      <c r="R97" s="13" t="s">
        <v>386</v>
      </c>
    </row>
    <row r="98" spans="1:18">
      <c r="A98" s="9" t="s">
        <v>1458</v>
      </c>
      <c r="B98" s="13">
        <v>99</v>
      </c>
      <c r="C98" s="12" t="s">
        <v>986</v>
      </c>
      <c r="D98" s="13" t="s">
        <v>54</v>
      </c>
      <c r="E98" s="12">
        <v>2022</v>
      </c>
      <c r="F98" s="12">
        <v>40</v>
      </c>
      <c r="G98" s="13" t="s">
        <v>905</v>
      </c>
      <c r="H98" s="13" t="s">
        <v>705</v>
      </c>
      <c r="I98" s="13" t="s">
        <v>706</v>
      </c>
      <c r="J98" s="13" t="s">
        <v>923</v>
      </c>
      <c r="K98" s="13" t="s">
        <v>924</v>
      </c>
      <c r="L98" s="13" t="s">
        <v>1459</v>
      </c>
      <c r="M98" s="13" t="s">
        <v>926</v>
      </c>
      <c r="N98" s="13" t="s">
        <v>1460</v>
      </c>
      <c r="O98" s="13" t="s">
        <v>959</v>
      </c>
      <c r="P98" s="13" t="s">
        <v>1461</v>
      </c>
      <c r="Q98" s="13" t="s">
        <v>1462</v>
      </c>
      <c r="R98" s="13" t="s">
        <v>706</v>
      </c>
    </row>
    <row r="99" spans="1:18">
      <c r="A99" s="9" t="s">
        <v>1463</v>
      </c>
      <c r="B99" s="13">
        <v>27</v>
      </c>
      <c r="C99" s="12" t="s">
        <v>904</v>
      </c>
      <c r="D99" s="13" t="s">
        <v>54</v>
      </c>
      <c r="E99" s="12">
        <v>2023</v>
      </c>
      <c r="F99" s="12">
        <v>2</v>
      </c>
      <c r="G99" s="13" t="s">
        <v>987</v>
      </c>
      <c r="H99" s="13" t="s">
        <v>622</v>
      </c>
      <c r="I99" s="13" t="s">
        <v>623</v>
      </c>
      <c r="J99" s="13" t="s">
        <v>923</v>
      </c>
      <c r="K99" s="13" t="s">
        <v>1405</v>
      </c>
      <c r="L99" s="13" t="s">
        <v>1464</v>
      </c>
      <c r="M99" s="13" t="s">
        <v>976</v>
      </c>
      <c r="N99" s="13" t="s">
        <v>1465</v>
      </c>
      <c r="O99" s="13" t="s">
        <v>1466</v>
      </c>
      <c r="P99" s="13" t="s">
        <v>912</v>
      </c>
      <c r="Q99" s="13" t="s">
        <v>1467</v>
      </c>
      <c r="R99" s="13" t="s">
        <v>623</v>
      </c>
    </row>
    <row r="100" spans="1:18">
      <c r="A100" s="9" t="s">
        <v>1468</v>
      </c>
      <c r="B100" s="13">
        <v>108</v>
      </c>
      <c r="C100" s="12" t="s">
        <v>999</v>
      </c>
      <c r="D100" s="13" t="s">
        <v>54</v>
      </c>
      <c r="E100" s="12">
        <v>2023</v>
      </c>
      <c r="F100" s="12">
        <v>15</v>
      </c>
      <c r="G100" s="13" t="s">
        <v>1469</v>
      </c>
      <c r="H100" s="13" t="s">
        <v>389</v>
      </c>
      <c r="I100" s="13" t="s">
        <v>390</v>
      </c>
      <c r="J100" s="13" t="s">
        <v>973</v>
      </c>
      <c r="K100" s="13" t="s">
        <v>1028</v>
      </c>
      <c r="L100" s="13" t="s">
        <v>1470</v>
      </c>
      <c r="M100" s="13" t="s">
        <v>1002</v>
      </c>
      <c r="N100" s="13"/>
      <c r="O100" s="13" t="s">
        <v>1161</v>
      </c>
      <c r="P100" s="13"/>
      <c r="Q100" s="13" t="s">
        <v>1471</v>
      </c>
      <c r="R100" s="13" t="s">
        <v>390</v>
      </c>
    </row>
    <row r="101" spans="1:18">
      <c r="A101" s="9" t="s">
        <v>1472</v>
      </c>
      <c r="B101" s="13">
        <v>28</v>
      </c>
      <c r="C101" s="12" t="s">
        <v>904</v>
      </c>
      <c r="D101" s="13" t="s">
        <v>54</v>
      </c>
      <c r="E101" s="12">
        <v>2024</v>
      </c>
      <c r="F101" s="12">
        <v>0</v>
      </c>
      <c r="G101" s="13" t="s">
        <v>987</v>
      </c>
      <c r="H101" s="13" t="s">
        <v>713</v>
      </c>
      <c r="I101" s="13" t="s">
        <v>714</v>
      </c>
      <c r="J101" s="13" t="s">
        <v>923</v>
      </c>
      <c r="K101" s="13" t="s">
        <v>924</v>
      </c>
      <c r="L101" s="13" t="s">
        <v>1473</v>
      </c>
      <c r="M101" s="13" t="s">
        <v>926</v>
      </c>
      <c r="N101" s="9" t="s">
        <v>1197</v>
      </c>
      <c r="O101" s="13" t="s">
        <v>959</v>
      </c>
      <c r="P101" s="13" t="s">
        <v>1474</v>
      </c>
      <c r="Q101" s="13" t="s">
        <v>1475</v>
      </c>
      <c r="R101" s="13" t="s">
        <v>714</v>
      </c>
    </row>
    <row r="102" s="17" customFormat="1" spans="1:18">
      <c r="A102" s="9" t="s">
        <v>1476</v>
      </c>
      <c r="B102" s="13">
        <v>29</v>
      </c>
      <c r="C102" s="12" t="s">
        <v>904</v>
      </c>
      <c r="D102" s="13" t="s">
        <v>54</v>
      </c>
      <c r="E102" s="12">
        <v>2024</v>
      </c>
      <c r="F102" s="12">
        <v>2</v>
      </c>
      <c r="G102" s="13" t="s">
        <v>987</v>
      </c>
      <c r="H102" s="13" t="s">
        <v>356</v>
      </c>
      <c r="I102" s="13" t="s">
        <v>357</v>
      </c>
      <c r="J102" s="13" t="s">
        <v>973</v>
      </c>
      <c r="K102" s="13" t="s">
        <v>1477</v>
      </c>
      <c r="L102" s="13" t="s">
        <v>1478</v>
      </c>
      <c r="M102" s="13" t="s">
        <v>976</v>
      </c>
      <c r="N102" s="13" t="s">
        <v>1479</v>
      </c>
      <c r="O102" s="13" t="s">
        <v>1480</v>
      </c>
      <c r="P102" s="13" t="s">
        <v>1481</v>
      </c>
      <c r="Q102" s="13" t="s">
        <v>1482</v>
      </c>
      <c r="R102" s="13" t="s">
        <v>357</v>
      </c>
    </row>
    <row r="103" spans="1:18">
      <c r="A103" s="9" t="s">
        <v>1483</v>
      </c>
      <c r="B103" s="13">
        <v>30</v>
      </c>
      <c r="C103" s="12" t="s">
        <v>904</v>
      </c>
      <c r="D103" s="13" t="s">
        <v>54</v>
      </c>
      <c r="E103" s="12">
        <v>2024</v>
      </c>
      <c r="F103" s="12">
        <v>0</v>
      </c>
      <c r="G103" s="13" t="s">
        <v>905</v>
      </c>
      <c r="H103" s="13" t="s">
        <v>366</v>
      </c>
      <c r="I103" s="13" t="s">
        <v>367</v>
      </c>
      <c r="J103" s="13" t="s">
        <v>973</v>
      </c>
      <c r="K103" s="13" t="s">
        <v>1484</v>
      </c>
      <c r="L103" s="13" t="s">
        <v>1485</v>
      </c>
      <c r="M103" s="13" t="s">
        <v>1048</v>
      </c>
      <c r="N103" s="13"/>
      <c r="O103" s="13" t="s">
        <v>1050</v>
      </c>
      <c r="P103" s="9" t="s">
        <v>1486</v>
      </c>
      <c r="Q103" s="13" t="s">
        <v>1487</v>
      </c>
      <c r="R103" s="13" t="s">
        <v>367</v>
      </c>
    </row>
    <row r="104" spans="1:18">
      <c r="A104" s="9" t="s">
        <v>1488</v>
      </c>
      <c r="B104" s="13">
        <v>83</v>
      </c>
      <c r="C104" s="12" t="s">
        <v>963</v>
      </c>
      <c r="D104" s="13" t="s">
        <v>121</v>
      </c>
      <c r="E104" s="12">
        <v>2024</v>
      </c>
      <c r="F104" s="12">
        <v>0</v>
      </c>
      <c r="G104" s="13" t="s">
        <v>942</v>
      </c>
      <c r="H104" s="13" t="s">
        <v>562</v>
      </c>
      <c r="I104" s="13" t="s">
        <v>563</v>
      </c>
      <c r="J104" s="13" t="s">
        <v>923</v>
      </c>
      <c r="K104" s="13" t="s">
        <v>1489</v>
      </c>
      <c r="L104" s="13" t="s">
        <v>1490</v>
      </c>
      <c r="M104" s="13" t="s">
        <v>976</v>
      </c>
      <c r="N104" s="13"/>
      <c r="O104" s="13" t="s">
        <v>978</v>
      </c>
      <c r="P104" s="13" t="s">
        <v>1491</v>
      </c>
      <c r="Q104" s="13" t="s">
        <v>1492</v>
      </c>
      <c r="R104" s="13" t="s">
        <v>563</v>
      </c>
    </row>
    <row r="105" spans="1:18">
      <c r="A105" s="9" t="s">
        <v>1493</v>
      </c>
      <c r="B105" s="13">
        <v>84</v>
      </c>
      <c r="C105" s="12" t="s">
        <v>963</v>
      </c>
      <c r="D105" s="13" t="s">
        <v>11</v>
      </c>
      <c r="E105" s="12">
        <v>2024</v>
      </c>
      <c r="F105" s="12">
        <v>0</v>
      </c>
      <c r="G105" s="13" t="s">
        <v>987</v>
      </c>
      <c r="H105" s="13" t="s">
        <v>612</v>
      </c>
      <c r="I105" s="13" t="s">
        <v>613</v>
      </c>
      <c r="J105" s="13" t="s">
        <v>923</v>
      </c>
      <c r="K105" s="13" t="s">
        <v>1494</v>
      </c>
      <c r="L105" s="13" t="s">
        <v>1495</v>
      </c>
      <c r="M105" s="13" t="s">
        <v>926</v>
      </c>
      <c r="N105" s="13" t="s">
        <v>1496</v>
      </c>
      <c r="O105" s="13" t="s">
        <v>1497</v>
      </c>
      <c r="P105" s="13" t="s">
        <v>1498</v>
      </c>
      <c r="Q105" s="13" t="s">
        <v>1499</v>
      </c>
      <c r="R105" s="13" t="s">
        <v>613</v>
      </c>
    </row>
    <row r="106" spans="1:18">
      <c r="A106" s="9" t="s">
        <v>1500</v>
      </c>
      <c r="B106" s="13">
        <v>85</v>
      </c>
      <c r="C106" s="12" t="s">
        <v>963</v>
      </c>
      <c r="D106" s="13" t="s">
        <v>54</v>
      </c>
      <c r="E106" s="12">
        <v>2024</v>
      </c>
      <c r="F106" s="12">
        <v>0</v>
      </c>
      <c r="G106" s="13" t="s">
        <v>987</v>
      </c>
      <c r="H106" s="13" t="s">
        <v>358</v>
      </c>
      <c r="I106" s="13" t="s">
        <v>359</v>
      </c>
      <c r="J106" s="13" t="s">
        <v>973</v>
      </c>
      <c r="K106" s="13" t="s">
        <v>1477</v>
      </c>
      <c r="L106" s="13" t="s">
        <v>1501</v>
      </c>
      <c r="M106" s="13" t="s">
        <v>926</v>
      </c>
      <c r="N106" s="13" t="s">
        <v>1502</v>
      </c>
      <c r="O106" s="13" t="s">
        <v>978</v>
      </c>
      <c r="P106" s="13" t="s">
        <v>1503</v>
      </c>
      <c r="Q106" s="13" t="s">
        <v>1504</v>
      </c>
      <c r="R106" s="13" t="s">
        <v>359</v>
      </c>
    </row>
    <row r="107" spans="1:18">
      <c r="A107" s="9" t="s">
        <v>1505</v>
      </c>
      <c r="B107" s="13">
        <v>86</v>
      </c>
      <c r="C107" s="12" t="s">
        <v>963</v>
      </c>
      <c r="D107" s="13" t="s">
        <v>54</v>
      </c>
      <c r="E107" s="12">
        <v>2024</v>
      </c>
      <c r="F107" s="12">
        <v>3</v>
      </c>
      <c r="G107" s="13" t="s">
        <v>987</v>
      </c>
      <c r="H107" s="13" t="s">
        <v>411</v>
      </c>
      <c r="I107" s="13" t="s">
        <v>412</v>
      </c>
      <c r="J107" s="13" t="s">
        <v>973</v>
      </c>
      <c r="K107" s="13" t="s">
        <v>1506</v>
      </c>
      <c r="L107" s="13" t="s">
        <v>1507</v>
      </c>
      <c r="M107" s="13" t="s">
        <v>926</v>
      </c>
      <c r="N107" s="13" t="s">
        <v>1508</v>
      </c>
      <c r="O107" s="13" t="s">
        <v>959</v>
      </c>
      <c r="P107" s="13" t="s">
        <v>912</v>
      </c>
      <c r="Q107" s="13" t="s">
        <v>1509</v>
      </c>
      <c r="R107" s="13" t="s">
        <v>412</v>
      </c>
    </row>
    <row r="108" spans="1:18">
      <c r="A108" s="9" t="s">
        <v>1510</v>
      </c>
      <c r="B108" s="13">
        <v>87</v>
      </c>
      <c r="C108" s="12" t="s">
        <v>963</v>
      </c>
      <c r="D108" s="13" t="s">
        <v>11</v>
      </c>
      <c r="E108" s="12">
        <v>2024</v>
      </c>
      <c r="F108" s="12">
        <v>0</v>
      </c>
      <c r="G108" s="13" t="s">
        <v>922</v>
      </c>
      <c r="H108" s="13" t="s">
        <v>93</v>
      </c>
      <c r="I108" s="13" t="s">
        <v>94</v>
      </c>
      <c r="J108" s="13" t="s">
        <v>906</v>
      </c>
      <c r="K108" s="13" t="s">
        <v>1511</v>
      </c>
      <c r="L108" s="13" t="s">
        <v>1512</v>
      </c>
      <c r="M108" s="13" t="s">
        <v>926</v>
      </c>
      <c r="N108" s="13" t="s">
        <v>1513</v>
      </c>
      <c r="O108" s="13" t="s">
        <v>946</v>
      </c>
      <c r="P108" s="13" t="s">
        <v>1514</v>
      </c>
      <c r="Q108" s="13" t="s">
        <v>1515</v>
      </c>
      <c r="R108" s="13" t="s">
        <v>94</v>
      </c>
    </row>
    <row r="109" spans="1:18">
      <c r="A109" s="9" t="s">
        <v>1516</v>
      </c>
      <c r="B109" s="13">
        <v>109</v>
      </c>
      <c r="C109" s="12" t="s">
        <v>999</v>
      </c>
      <c r="D109" s="13" t="s">
        <v>54</v>
      </c>
      <c r="E109" s="12">
        <v>2024</v>
      </c>
      <c r="F109" s="12">
        <v>3</v>
      </c>
      <c r="G109" s="13" t="s">
        <v>905</v>
      </c>
      <c r="H109" s="13" t="s">
        <v>352</v>
      </c>
      <c r="I109" s="13" t="s">
        <v>353</v>
      </c>
      <c r="J109" s="13" t="s">
        <v>973</v>
      </c>
      <c r="K109" s="13" t="s">
        <v>1517</v>
      </c>
      <c r="L109" s="13" t="s">
        <v>1518</v>
      </c>
      <c r="M109" s="13" t="s">
        <v>1002</v>
      </c>
      <c r="N109" s="13"/>
      <c r="O109" s="13" t="s">
        <v>1004</v>
      </c>
      <c r="P109" s="13"/>
      <c r="Q109" s="13" t="s">
        <v>1519</v>
      </c>
      <c r="R109" s="13" t="s">
        <v>353</v>
      </c>
    </row>
    <row r="110" spans="1:18">
      <c r="A110" s="9" t="s">
        <v>1520</v>
      </c>
      <c r="B110" s="13">
        <v>88</v>
      </c>
      <c r="C110" s="12" t="s">
        <v>963</v>
      </c>
      <c r="D110" s="13" t="s">
        <v>54</v>
      </c>
      <c r="E110" s="12">
        <v>2025</v>
      </c>
      <c r="F110" s="12">
        <v>0</v>
      </c>
      <c r="G110" s="13" t="s">
        <v>987</v>
      </c>
      <c r="H110" s="13" t="s">
        <v>348</v>
      </c>
      <c r="I110" s="13" t="s">
        <v>349</v>
      </c>
      <c r="J110" s="13" t="s">
        <v>973</v>
      </c>
      <c r="K110" s="13" t="s">
        <v>1517</v>
      </c>
      <c r="L110" s="13" t="s">
        <v>1521</v>
      </c>
      <c r="M110" s="13" t="s">
        <v>909</v>
      </c>
      <c r="N110" s="13" t="s">
        <v>1522</v>
      </c>
      <c r="O110" s="13" t="s">
        <v>1466</v>
      </c>
      <c r="P110" s="13" t="s">
        <v>1503</v>
      </c>
      <c r="Q110" s="13" t="s">
        <v>1523</v>
      </c>
      <c r="R110" s="13" t="s">
        <v>349</v>
      </c>
    </row>
  </sheetData>
  <sortState ref="B2:T110">
    <sortCondition ref="E2"/>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E9"/>
  <sheetViews>
    <sheetView workbookViewId="0">
      <selection activeCell="D39" sqref="D39"/>
    </sheetView>
  </sheetViews>
  <sheetFormatPr defaultColWidth="8.72727272727273" defaultRowHeight="14" outlineLevelCol="4"/>
  <cols>
    <col min="1" max="1" width="17.3636363636364"/>
    <col min="2" max="2" width="19.8181818181818"/>
    <col min="4" max="4" width="17.3636363636364" customWidth="1"/>
    <col min="5" max="5" width="8.72727272727273" customWidth="1"/>
  </cols>
  <sheetData>
    <row r="3" spans="1:5">
      <c r="A3" t="s">
        <v>3</v>
      </c>
      <c r="B3" t="s">
        <v>1524</v>
      </c>
    </row>
    <row r="4" spans="1:5">
      <c r="A4" t="s">
        <v>121</v>
      </c>
      <c r="B4">
        <v>3</v>
      </c>
      <c r="D4" t="s">
        <v>1525</v>
      </c>
      <c r="E4" t="s">
        <v>1526</v>
      </c>
    </row>
    <row r="5" spans="1:5">
      <c r="A5" t="s">
        <v>11</v>
      </c>
      <c r="B5">
        <v>48</v>
      </c>
      <c r="D5" t="s">
        <v>1527</v>
      </c>
      <c r="E5">
        <v>48</v>
      </c>
    </row>
    <row r="6" spans="1:5">
      <c r="A6" t="s">
        <v>54</v>
      </c>
      <c r="B6">
        <v>49</v>
      </c>
      <c r="D6" t="s">
        <v>1528</v>
      </c>
      <c r="E6">
        <v>49</v>
      </c>
    </row>
    <row r="7" spans="1:5">
      <c r="A7" t="s">
        <v>941</v>
      </c>
      <c r="B7">
        <v>9</v>
      </c>
      <c r="D7" t="s">
        <v>1529</v>
      </c>
      <c r="E7">
        <v>9</v>
      </c>
    </row>
    <row r="8" spans="1:5">
      <c r="A8" t="s">
        <v>1530</v>
      </c>
      <c r="D8" t="s">
        <v>1531</v>
      </c>
      <c r="E8">
        <v>3</v>
      </c>
    </row>
    <row r="9" spans="1:5">
      <c r="A9" t="s">
        <v>1532</v>
      </c>
      <c r="B9">
        <v>109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20"/>
  <sheetViews>
    <sheetView workbookViewId="0">
      <selection activeCell="D28" sqref="D28"/>
    </sheetView>
  </sheetViews>
  <sheetFormatPr defaultColWidth="8.72727272727273" defaultRowHeight="14" outlineLevelCol="1"/>
  <cols>
    <col min="1" max="1" width="22.1818181818182"/>
    <col min="2" max="2" width="28.4545454545455"/>
    <col min="3" max="17" width="20.5454545454545"/>
    <col min="18" max="18" width="5.54545454545455"/>
    <col min="19" max="33" width="26.3636363636364"/>
    <col min="34" max="34" width="30.9090909090909"/>
    <col min="35" max="35" width="19.6363636363636"/>
  </cols>
  <sheetData>
    <row r="3" spans="1:2">
      <c r="A3" t="s">
        <v>4</v>
      </c>
      <c r="B3" t="s">
        <v>1533</v>
      </c>
    </row>
    <row r="4" spans="1:2">
      <c r="A4">
        <v>2010</v>
      </c>
      <c r="B4">
        <v>13</v>
      </c>
    </row>
    <row r="5" spans="1:2">
      <c r="A5">
        <v>2011</v>
      </c>
      <c r="B5">
        <v>8</v>
      </c>
    </row>
    <row r="6" spans="1:2">
      <c r="A6">
        <v>2012</v>
      </c>
      <c r="B6">
        <v>11</v>
      </c>
    </row>
    <row r="7" spans="1:2">
      <c r="A7">
        <v>2013</v>
      </c>
      <c r="B7">
        <v>6</v>
      </c>
    </row>
    <row r="8" spans="1:2">
      <c r="A8">
        <v>2014</v>
      </c>
      <c r="B8">
        <v>10</v>
      </c>
    </row>
    <row r="9" spans="1:2">
      <c r="A9">
        <v>2015</v>
      </c>
      <c r="B9">
        <v>10</v>
      </c>
    </row>
    <row r="10" spans="1:2">
      <c r="A10">
        <v>2016</v>
      </c>
      <c r="B10">
        <v>4</v>
      </c>
    </row>
    <row r="11" spans="1:2">
      <c r="A11">
        <v>2017</v>
      </c>
      <c r="B11">
        <v>11</v>
      </c>
    </row>
    <row r="12" spans="1:2">
      <c r="A12">
        <v>2018</v>
      </c>
      <c r="B12">
        <v>2</v>
      </c>
    </row>
    <row r="13" spans="1:2">
      <c r="A13">
        <v>2019</v>
      </c>
      <c r="B13">
        <v>11</v>
      </c>
    </row>
    <row r="14" spans="1:2">
      <c r="A14">
        <v>2020</v>
      </c>
      <c r="B14">
        <v>2</v>
      </c>
    </row>
    <row r="15" spans="1:2">
      <c r="A15">
        <v>2021</v>
      </c>
      <c r="B15">
        <v>6</v>
      </c>
    </row>
    <row r="16" spans="1:2">
      <c r="A16">
        <v>2022</v>
      </c>
      <c r="B16">
        <v>3</v>
      </c>
    </row>
    <row r="17" spans="1:2">
      <c r="A17">
        <v>2023</v>
      </c>
      <c r="B17">
        <v>2</v>
      </c>
    </row>
    <row r="18" spans="1:2">
      <c r="A18">
        <v>2024</v>
      </c>
      <c r="B18">
        <v>9</v>
      </c>
    </row>
    <row r="19" spans="1:2">
      <c r="A19">
        <v>2025</v>
      </c>
      <c r="B19">
        <v>1</v>
      </c>
    </row>
    <row r="20" spans="1:2">
      <c r="A20" t="s">
        <v>1532</v>
      </c>
      <c r="B20">
        <v>109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E12"/>
  <sheetViews>
    <sheetView workbookViewId="0">
      <selection activeCell="I11" sqref="I11"/>
    </sheetView>
  </sheetViews>
  <sheetFormatPr defaultColWidth="8.72727272727273" defaultRowHeight="14" outlineLevelCol="4"/>
  <cols>
    <col min="1" max="1" width="21.9090909090909"/>
    <col min="2" max="2" width="19.8181818181818"/>
    <col min="4" max="4" width="10.6363636363636" customWidth="1"/>
    <col min="5" max="5" width="18.5454545454545" customWidth="1"/>
  </cols>
  <sheetData>
    <row r="3" spans="1:5">
      <c r="A3" t="s">
        <v>894</v>
      </c>
      <c r="B3" t="s">
        <v>1534</v>
      </c>
      <c r="D3" t="s">
        <v>894</v>
      </c>
      <c r="E3" t="s">
        <v>1526</v>
      </c>
    </row>
    <row r="4" spans="1:5">
      <c r="A4" t="s">
        <v>973</v>
      </c>
      <c r="B4">
        <v>31</v>
      </c>
      <c r="D4" t="s">
        <v>906</v>
      </c>
      <c r="E4">
        <v>39</v>
      </c>
    </row>
    <row r="5" spans="1:5">
      <c r="A5" t="s">
        <v>906</v>
      </c>
      <c r="B5">
        <v>35</v>
      </c>
      <c r="D5" t="s">
        <v>923</v>
      </c>
      <c r="E5">
        <v>35</v>
      </c>
    </row>
    <row r="6" spans="1:5">
      <c r="A6" t="s">
        <v>1007</v>
      </c>
      <c r="B6">
        <v>4</v>
      </c>
      <c r="D6" t="s">
        <v>973</v>
      </c>
      <c r="E6">
        <v>31</v>
      </c>
    </row>
    <row r="7" spans="1:5">
      <c r="A7" t="s">
        <v>1324</v>
      </c>
      <c r="B7">
        <v>2</v>
      </c>
      <c r="D7" t="s">
        <v>1535</v>
      </c>
      <c r="E7">
        <v>4</v>
      </c>
    </row>
    <row r="8" spans="1:5">
      <c r="A8" t="s">
        <v>1131</v>
      </c>
      <c r="B8">
        <v>1</v>
      </c>
    </row>
    <row r="9" spans="1:5">
      <c r="A9" t="s">
        <v>923</v>
      </c>
      <c r="B9">
        <v>35</v>
      </c>
    </row>
    <row r="10" spans="1:5">
      <c r="A10" t="s">
        <v>1101</v>
      </c>
      <c r="B10">
        <v>1</v>
      </c>
    </row>
    <row r="11" spans="1:5">
      <c r="A11" t="s">
        <v>1530</v>
      </c>
    </row>
    <row r="12" spans="1:5">
      <c r="A12" t="s">
        <v>1532</v>
      </c>
      <c r="B12">
        <v>109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88"/>
  <sheetViews>
    <sheetView workbookViewId="0">
      <selection activeCell="D64" sqref="D64"/>
    </sheetView>
  </sheetViews>
  <sheetFormatPr defaultColWidth="8.72727272727273" defaultRowHeight="14" outlineLevelCol="2"/>
  <cols>
    <col min="1" max="1" width="110.363636363636" customWidth="1"/>
    <col min="2" max="2" width="13.6363636363636" customWidth="1"/>
  </cols>
  <sheetData>
    <row r="3" spans="1:3">
      <c r="A3" t="s">
        <v>895</v>
      </c>
      <c r="B3" t="s">
        <v>1536</v>
      </c>
    </row>
    <row r="4" spans="1:3">
      <c r="A4" t="s">
        <v>924</v>
      </c>
      <c r="B4">
        <v>7</v>
      </c>
    </row>
    <row r="5" spans="1:3">
      <c r="A5" t="s">
        <v>1028</v>
      </c>
      <c r="B5">
        <v>4</v>
      </c>
    </row>
    <row r="6" spans="1:3">
      <c r="A6" t="s">
        <v>974</v>
      </c>
      <c r="B6">
        <v>4</v>
      </c>
    </row>
    <row r="7" spans="1:3">
      <c r="A7" t="s">
        <v>1022</v>
      </c>
      <c r="B7">
        <v>3</v>
      </c>
    </row>
    <row r="8" spans="1:3">
      <c r="A8" t="s">
        <v>950</v>
      </c>
      <c r="B8">
        <v>3</v>
      </c>
    </row>
    <row r="9" spans="1:3">
      <c r="A9" t="s">
        <v>965</v>
      </c>
      <c r="B9">
        <v>2</v>
      </c>
    </row>
    <row r="10" spans="1:3">
      <c r="A10" t="s">
        <v>1405</v>
      </c>
      <c r="B10">
        <v>2</v>
      </c>
      <c r="C10" s="14">
        <v>4</v>
      </c>
    </row>
    <row r="11" spans="1:3">
      <c r="A11" t="s">
        <v>1336</v>
      </c>
      <c r="B11">
        <v>2</v>
      </c>
      <c r="C11" s="14"/>
    </row>
    <row r="12" spans="1:3">
      <c r="A12" t="s">
        <v>1517</v>
      </c>
      <c r="B12">
        <v>2</v>
      </c>
    </row>
    <row r="13" spans="1:3">
      <c r="A13" t="s">
        <v>1119</v>
      </c>
      <c r="B13">
        <v>2</v>
      </c>
    </row>
    <row r="14" spans="1:3">
      <c r="A14" t="s">
        <v>1215</v>
      </c>
      <c r="B14">
        <v>2</v>
      </c>
    </row>
    <row r="15" spans="1:3">
      <c r="A15" t="s">
        <v>1477</v>
      </c>
      <c r="B15">
        <v>2</v>
      </c>
    </row>
    <row r="16" spans="1:3">
      <c r="A16" t="s">
        <v>1440</v>
      </c>
      <c r="B16">
        <v>2</v>
      </c>
      <c r="C16" t="s">
        <v>1537</v>
      </c>
    </row>
    <row r="17" spans="1:3">
      <c r="A17" t="s">
        <v>1153</v>
      </c>
      <c r="B17">
        <v>2</v>
      </c>
      <c r="C17" t="s">
        <v>1538</v>
      </c>
    </row>
    <row r="18" spans="1:3">
      <c r="A18" t="s">
        <v>1080</v>
      </c>
      <c r="B18">
        <v>2</v>
      </c>
    </row>
    <row r="19" spans="1:3">
      <c r="A19" t="s">
        <v>1046</v>
      </c>
      <c r="B19">
        <v>1</v>
      </c>
    </row>
    <row r="20" spans="1:3">
      <c r="A20" t="s">
        <v>1410</v>
      </c>
      <c r="B20">
        <v>1</v>
      </c>
    </row>
    <row r="21" spans="1:3">
      <c r="A21" t="s">
        <v>1427</v>
      </c>
      <c r="B21">
        <v>1</v>
      </c>
    </row>
    <row r="22" spans="1:3">
      <c r="A22" t="s">
        <v>1102</v>
      </c>
      <c r="B22">
        <v>1</v>
      </c>
    </row>
    <row r="23" spans="1:3">
      <c r="A23" t="s">
        <v>1393</v>
      </c>
      <c r="B23">
        <v>1</v>
      </c>
    </row>
    <row r="24" spans="1:3">
      <c r="A24" t="s">
        <v>1190</v>
      </c>
      <c r="B24">
        <v>1</v>
      </c>
    </row>
    <row r="25" spans="1:3">
      <c r="A25" t="s">
        <v>933</v>
      </c>
      <c r="B25">
        <v>1</v>
      </c>
    </row>
    <row r="26" spans="1:3">
      <c r="A26" t="s">
        <v>1270</v>
      </c>
      <c r="B26">
        <v>1</v>
      </c>
    </row>
    <row r="27" spans="1:3">
      <c r="A27" t="s">
        <v>1074</v>
      </c>
      <c r="B27">
        <v>1</v>
      </c>
    </row>
    <row r="28" spans="1:3">
      <c r="A28" t="s">
        <v>1132</v>
      </c>
      <c r="B28">
        <v>1</v>
      </c>
    </row>
    <row r="29" spans="1:3">
      <c r="A29" t="s">
        <v>1239</v>
      </c>
      <c r="B29">
        <v>1</v>
      </c>
    </row>
    <row r="30" spans="1:3">
      <c r="A30" t="s">
        <v>1415</v>
      </c>
      <c r="B30">
        <v>1</v>
      </c>
    </row>
    <row r="31" spans="1:3">
      <c r="A31" t="s">
        <v>1299</v>
      </c>
      <c r="B31">
        <v>1</v>
      </c>
    </row>
    <row r="32" spans="1:3">
      <c r="A32" t="s">
        <v>1211</v>
      </c>
      <c r="B32">
        <v>1</v>
      </c>
    </row>
    <row r="33" spans="1:2">
      <c r="A33" t="s">
        <v>1354</v>
      </c>
      <c r="B33">
        <v>1</v>
      </c>
    </row>
    <row r="34" spans="1:2">
      <c r="A34" t="s">
        <v>988</v>
      </c>
      <c r="B34">
        <v>1</v>
      </c>
    </row>
    <row r="35" spans="1:2">
      <c r="A35" t="s">
        <v>1494</v>
      </c>
      <c r="B35">
        <v>1</v>
      </c>
    </row>
    <row r="36" spans="1:2">
      <c r="A36" t="s">
        <v>1016</v>
      </c>
      <c r="B36">
        <v>1</v>
      </c>
    </row>
    <row r="37" spans="1:2">
      <c r="A37" t="s">
        <v>1158</v>
      </c>
      <c r="B37">
        <v>1</v>
      </c>
    </row>
    <row r="38" spans="1:2">
      <c r="A38" t="s">
        <v>1053</v>
      </c>
      <c r="B38">
        <v>1</v>
      </c>
    </row>
    <row r="39" spans="1:2">
      <c r="A39" t="s">
        <v>1249</v>
      </c>
      <c r="B39">
        <v>1</v>
      </c>
    </row>
    <row r="40" spans="1:2">
      <c r="A40" t="s">
        <v>1279</v>
      </c>
      <c r="B40">
        <v>1</v>
      </c>
    </row>
    <row r="41" spans="1:2">
      <c r="A41" t="s">
        <v>1489</v>
      </c>
      <c r="B41">
        <v>1</v>
      </c>
    </row>
    <row r="42" spans="1:2">
      <c r="A42" t="s">
        <v>1068</v>
      </c>
      <c r="B42">
        <v>1</v>
      </c>
    </row>
    <row r="43" spans="1:2">
      <c r="A43" t="s">
        <v>1506</v>
      </c>
      <c r="B43">
        <v>1</v>
      </c>
    </row>
    <row r="44" spans="1:2">
      <c r="A44" t="s">
        <v>1137</v>
      </c>
      <c r="B44">
        <v>1</v>
      </c>
    </row>
    <row r="45" spans="1:2">
      <c r="A45" t="s">
        <v>1285</v>
      </c>
      <c r="B45">
        <v>1</v>
      </c>
    </row>
    <row r="46" spans="1:2">
      <c r="A46" t="s">
        <v>1359</v>
      </c>
      <c r="B46">
        <v>1</v>
      </c>
    </row>
    <row r="47" spans="1:2">
      <c r="A47" t="s">
        <v>1304</v>
      </c>
      <c r="B47">
        <v>1</v>
      </c>
    </row>
    <row r="48" spans="1:2">
      <c r="A48" t="s">
        <v>1234</v>
      </c>
      <c r="B48">
        <v>1</v>
      </c>
    </row>
    <row r="49" spans="1:3">
      <c r="A49" t="s">
        <v>1295</v>
      </c>
      <c r="B49">
        <v>1</v>
      </c>
    </row>
    <row r="50" spans="1:3">
      <c r="A50" t="s">
        <v>1222</v>
      </c>
      <c r="B50">
        <v>1</v>
      </c>
    </row>
    <row r="51" spans="1:3">
      <c r="A51" t="s">
        <v>1325</v>
      </c>
      <c r="B51">
        <v>1</v>
      </c>
    </row>
    <row r="52" spans="1:3">
      <c r="A52" t="s">
        <v>1204</v>
      </c>
      <c r="B52">
        <v>1</v>
      </c>
    </row>
    <row r="53" spans="1:3">
      <c r="A53" t="s">
        <v>1229</v>
      </c>
      <c r="B53">
        <v>1</v>
      </c>
    </row>
    <row r="54" spans="1:3">
      <c r="A54" t="s">
        <v>1454</v>
      </c>
      <c r="B54">
        <v>1</v>
      </c>
      <c r="C54" t="s">
        <v>1539</v>
      </c>
    </row>
    <row r="55" spans="1:3">
      <c r="A55" t="s">
        <v>1348</v>
      </c>
      <c r="B55">
        <v>1</v>
      </c>
    </row>
    <row r="56" spans="1:3">
      <c r="A56" t="s">
        <v>1511</v>
      </c>
      <c r="B56">
        <v>1</v>
      </c>
    </row>
    <row r="57" spans="1:3">
      <c r="A57" t="s">
        <v>1449</v>
      </c>
      <c r="B57">
        <v>1</v>
      </c>
    </row>
    <row r="58" spans="1:3">
      <c r="A58" t="s">
        <v>1434</v>
      </c>
      <c r="B58">
        <v>1</v>
      </c>
      <c r="C58">
        <v>2</v>
      </c>
    </row>
    <row r="59" spans="1:3">
      <c r="A59" t="s">
        <v>1376</v>
      </c>
      <c r="B59">
        <v>1</v>
      </c>
    </row>
    <row r="60" spans="1:3">
      <c r="A60" t="s">
        <v>1382</v>
      </c>
      <c r="B60">
        <v>1</v>
      </c>
    </row>
    <row r="61" spans="1:3">
      <c r="A61" t="s">
        <v>1388</v>
      </c>
      <c r="B61">
        <v>1</v>
      </c>
    </row>
    <row r="62" spans="1:3">
      <c r="A62" t="s">
        <v>1342</v>
      </c>
      <c r="B62">
        <v>1</v>
      </c>
    </row>
    <row r="63" spans="1:3">
      <c r="A63" t="s">
        <v>1315</v>
      </c>
      <c r="B63">
        <v>1</v>
      </c>
    </row>
    <row r="64" spans="1:3">
      <c r="A64" t="s">
        <v>1331</v>
      </c>
      <c r="B64">
        <v>1</v>
      </c>
    </row>
    <row r="65" spans="1:3">
      <c r="A65" t="s">
        <v>1291</v>
      </c>
      <c r="B65">
        <v>1</v>
      </c>
      <c r="C65" t="s">
        <v>1540</v>
      </c>
    </row>
    <row r="66" spans="1:3">
      <c r="A66" t="s">
        <v>1310</v>
      </c>
      <c r="B66">
        <v>1</v>
      </c>
    </row>
    <row r="67" spans="1:3">
      <c r="A67" t="s">
        <v>1265</v>
      </c>
      <c r="B67">
        <v>1</v>
      </c>
    </row>
    <row r="68" spans="1:3">
      <c r="A68" t="s">
        <v>1261</v>
      </c>
      <c r="B68">
        <v>1</v>
      </c>
    </row>
    <row r="69" spans="1:3">
      <c r="A69" t="s">
        <v>1165</v>
      </c>
      <c r="B69">
        <v>1</v>
      </c>
    </row>
    <row r="70" spans="1:3">
      <c r="A70" t="s">
        <v>1195</v>
      </c>
      <c r="B70">
        <v>1</v>
      </c>
    </row>
    <row r="71" spans="1:3">
      <c r="A71" t="s">
        <v>1174</v>
      </c>
      <c r="B71">
        <v>1</v>
      </c>
    </row>
    <row r="72" spans="1:3">
      <c r="A72" t="s">
        <v>1126</v>
      </c>
      <c r="B72">
        <v>1</v>
      </c>
      <c r="C72" t="s">
        <v>1541</v>
      </c>
    </row>
    <row r="73" spans="1:3">
      <c r="A73" t="s">
        <v>1143</v>
      </c>
      <c r="B73">
        <v>1</v>
      </c>
    </row>
    <row r="74" spans="1:3">
      <c r="A74" t="s">
        <v>1087</v>
      </c>
      <c r="B74">
        <v>1</v>
      </c>
    </row>
    <row r="75" spans="1:3">
      <c r="A75" t="s">
        <v>1091</v>
      </c>
      <c r="B75">
        <v>1</v>
      </c>
      <c r="C75" t="s">
        <v>1542</v>
      </c>
    </row>
    <row r="76" spans="1:3">
      <c r="A76" t="s">
        <v>1107</v>
      </c>
      <c r="B76">
        <v>1</v>
      </c>
    </row>
    <row r="77" spans="1:3">
      <c r="A77" t="s">
        <v>1033</v>
      </c>
      <c r="B77">
        <v>1</v>
      </c>
    </row>
    <row r="78" spans="1:3">
      <c r="A78" t="s">
        <v>1039</v>
      </c>
      <c r="B78">
        <v>1</v>
      </c>
    </row>
    <row r="79" spans="1:3">
      <c r="A79" t="s">
        <v>1008</v>
      </c>
      <c r="B79">
        <v>1</v>
      </c>
    </row>
    <row r="80" spans="1:3">
      <c r="A80" t="s">
        <v>957</v>
      </c>
      <c r="B80">
        <v>1</v>
      </c>
    </row>
    <row r="81" spans="1:2">
      <c r="A81" t="s">
        <v>907</v>
      </c>
      <c r="B81">
        <v>1</v>
      </c>
    </row>
    <row r="82" spans="1:2">
      <c r="A82" t="s">
        <v>943</v>
      </c>
      <c r="B82">
        <v>1</v>
      </c>
    </row>
    <row r="83" spans="1:2">
      <c r="A83" t="s">
        <v>915</v>
      </c>
      <c r="B83">
        <v>1</v>
      </c>
    </row>
    <row r="84" spans="1:2">
      <c r="A84" t="s">
        <v>1484</v>
      </c>
      <c r="B84">
        <v>1</v>
      </c>
    </row>
    <row r="85" spans="1:2">
      <c r="A85" t="s">
        <v>1244</v>
      </c>
      <c r="B85">
        <v>1</v>
      </c>
    </row>
    <row r="86" spans="1:2">
      <c r="A86" t="s">
        <v>1369</v>
      </c>
      <c r="B86">
        <v>1</v>
      </c>
    </row>
    <row r="87" spans="1:2">
      <c r="A87" t="s">
        <v>1530</v>
      </c>
    </row>
    <row r="88" spans="1:2">
      <c r="A88" t="s">
        <v>1532</v>
      </c>
      <c r="B88">
        <v>109</v>
      </c>
    </row>
  </sheetData>
  <mergeCells count="1">
    <mergeCell ref="C10:C1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0"/>
  <sheetViews>
    <sheetView topLeftCell="A34" workbookViewId="0">
      <selection activeCell="B34" sqref="B$1:B$1048576"/>
    </sheetView>
  </sheetViews>
  <sheetFormatPr defaultColWidth="8.72727272727273" defaultRowHeight="14" outlineLevelCol="3"/>
  <cols>
    <col min="2" max="2" width="28.6363636363636" customWidth="1"/>
    <col min="3" max="3" width="34.2727272727273" customWidth="1"/>
  </cols>
  <sheetData>
    <row r="1" customFormat="1" spans="1:3">
      <c r="A1" s="10" t="s">
        <v>890</v>
      </c>
      <c r="B1" s="10" t="s">
        <v>897</v>
      </c>
      <c r="C1" s="10" t="s">
        <v>900</v>
      </c>
    </row>
    <row r="2" customFormat="1" ht="28" spans="1:3">
      <c r="A2" s="9" t="s">
        <v>903</v>
      </c>
      <c r="B2" s="20" t="s">
        <v>1543</v>
      </c>
      <c r="C2" s="13" t="s">
        <v>912</v>
      </c>
    </row>
    <row r="3" customFormat="1" ht="28" spans="1:3">
      <c r="A3" s="9" t="s">
        <v>914</v>
      </c>
      <c r="B3" s="20" t="s">
        <v>1543</v>
      </c>
      <c r="C3" s="13" t="s">
        <v>919</v>
      </c>
    </row>
    <row r="4" customFormat="1" ht="28" spans="1:3">
      <c r="A4" s="9" t="s">
        <v>921</v>
      </c>
      <c r="B4" s="20" t="s">
        <v>1544</v>
      </c>
      <c r="C4" s="13" t="s">
        <v>969</v>
      </c>
    </row>
    <row r="5" customFormat="1" ht="28" spans="1:3">
      <c r="A5" s="9" t="s">
        <v>931</v>
      </c>
      <c r="B5" s="20" t="s">
        <v>1545</v>
      </c>
      <c r="C5" s="13" t="s">
        <v>969</v>
      </c>
    </row>
    <row r="6" customFormat="1" ht="28" spans="1:3">
      <c r="A6" s="9" t="s">
        <v>940</v>
      </c>
      <c r="B6" s="20" t="s">
        <v>1545</v>
      </c>
      <c r="C6" s="13" t="s">
        <v>912</v>
      </c>
    </row>
    <row r="7" customFormat="1" ht="28" spans="1:3">
      <c r="A7" s="9" t="s">
        <v>948</v>
      </c>
      <c r="B7" s="20" t="s">
        <v>1545</v>
      </c>
      <c r="C7" s="13"/>
    </row>
    <row r="8" customFormat="1" ht="28" spans="1:3">
      <c r="A8" s="9" t="s">
        <v>955</v>
      </c>
      <c r="B8" s="20" t="s">
        <v>1543</v>
      </c>
      <c r="C8" s="9" t="s">
        <v>969</v>
      </c>
    </row>
    <row r="9" customFormat="1" ht="28" spans="1:3">
      <c r="A9" s="9" t="s">
        <v>962</v>
      </c>
      <c r="B9" s="20" t="s">
        <v>1544</v>
      </c>
      <c r="C9" s="9" t="s">
        <v>969</v>
      </c>
    </row>
    <row r="10" customFormat="1" spans="1:3">
      <c r="A10" s="9" t="s">
        <v>971</v>
      </c>
      <c r="B10" s="13" t="s">
        <v>976</v>
      </c>
      <c r="C10" s="13"/>
    </row>
    <row r="11" customFormat="1" ht="28" spans="1:3">
      <c r="A11" s="9" t="s">
        <v>980</v>
      </c>
      <c r="B11" s="20" t="s">
        <v>1544</v>
      </c>
      <c r="C11" s="13"/>
    </row>
    <row r="12" customFormat="1" ht="28" spans="1:3">
      <c r="A12" s="9" t="s">
        <v>985</v>
      </c>
      <c r="B12" s="20" t="s">
        <v>1545</v>
      </c>
      <c r="C12" s="13" t="s">
        <v>991</v>
      </c>
    </row>
    <row r="13" customFormat="1" spans="1:3">
      <c r="A13" s="9" t="s">
        <v>993</v>
      </c>
      <c r="B13" s="13" t="s">
        <v>976</v>
      </c>
      <c r="C13" s="13" t="s">
        <v>996</v>
      </c>
    </row>
    <row r="14" customFormat="1" spans="1:3">
      <c r="A14" s="9" t="s">
        <v>998</v>
      </c>
      <c r="B14" s="13" t="s">
        <v>1002</v>
      </c>
      <c r="C14" s="13"/>
    </row>
    <row r="15" customFormat="1" ht="28" spans="1:3">
      <c r="A15" s="9" t="s">
        <v>1006</v>
      </c>
      <c r="B15" s="20" t="s">
        <v>1544</v>
      </c>
      <c r="C15" s="13" t="s">
        <v>1012</v>
      </c>
    </row>
    <row r="16" customFormat="1" ht="28" spans="1:3">
      <c r="A16" s="9" t="s">
        <v>1014</v>
      </c>
      <c r="B16" s="20" t="s">
        <v>1544</v>
      </c>
      <c r="C16" s="13"/>
    </row>
    <row r="17" customFormat="1" ht="28" spans="1:3">
      <c r="A17" s="9" t="s">
        <v>1021</v>
      </c>
      <c r="B17" s="20" t="s">
        <v>1544</v>
      </c>
      <c r="C17" s="13"/>
    </row>
    <row r="18" customFormat="1" spans="1:3">
      <c r="A18" s="9" t="s">
        <v>1026</v>
      </c>
      <c r="B18" s="13" t="s">
        <v>976</v>
      </c>
      <c r="C18" s="13" t="s">
        <v>969</v>
      </c>
    </row>
    <row r="19" customFormat="1" ht="28" spans="1:3">
      <c r="A19" s="9" t="s">
        <v>1031</v>
      </c>
      <c r="B19" s="20" t="s">
        <v>1544</v>
      </c>
      <c r="C19" s="13" t="s">
        <v>969</v>
      </c>
    </row>
    <row r="20" customFormat="1" ht="28" spans="1:3">
      <c r="A20" s="9" t="s">
        <v>1038</v>
      </c>
      <c r="B20" s="20" t="s">
        <v>1543</v>
      </c>
      <c r="C20" s="13" t="s">
        <v>1012</v>
      </c>
    </row>
    <row r="21" customFormat="1" ht="28" spans="1:3">
      <c r="A21" s="9" t="s">
        <v>1044</v>
      </c>
      <c r="B21" s="21" t="s">
        <v>1546</v>
      </c>
      <c r="C21" s="16" t="s">
        <v>969</v>
      </c>
    </row>
    <row r="22" customFormat="1" spans="1:3">
      <c r="A22" s="9" t="s">
        <v>1052</v>
      </c>
      <c r="B22" s="13" t="s">
        <v>1002</v>
      </c>
      <c r="C22" s="13"/>
    </row>
    <row r="23" customFormat="1" ht="28" spans="1:3">
      <c r="A23" s="9" t="s">
        <v>1056</v>
      </c>
      <c r="B23" s="20" t="s">
        <v>1545</v>
      </c>
      <c r="C23" s="13" t="s">
        <v>1060</v>
      </c>
    </row>
    <row r="24" customFormat="1" ht="28" spans="1:3">
      <c r="A24" s="9" t="s">
        <v>1062</v>
      </c>
      <c r="B24" s="20" t="s">
        <v>1544</v>
      </c>
      <c r="C24" s="13" t="s">
        <v>1060</v>
      </c>
    </row>
    <row r="25" customFormat="1" ht="42" spans="1:3">
      <c r="A25" s="9" t="s">
        <v>1067</v>
      </c>
      <c r="B25" s="20" t="s">
        <v>1547</v>
      </c>
      <c r="C25" s="13"/>
    </row>
    <row r="26" customFormat="1" ht="28" spans="1:3">
      <c r="A26" s="9" t="s">
        <v>1073</v>
      </c>
      <c r="B26" s="20" t="s">
        <v>1544</v>
      </c>
      <c r="C26" s="13" t="s">
        <v>969</v>
      </c>
    </row>
    <row r="27" customFormat="1" ht="28" spans="1:3">
      <c r="A27" s="9" t="s">
        <v>1079</v>
      </c>
      <c r="B27" s="20" t="s">
        <v>1548</v>
      </c>
      <c r="C27" s="13"/>
    </row>
    <row r="28" customFormat="1" ht="28" spans="1:3">
      <c r="A28" s="9" t="s">
        <v>1086</v>
      </c>
      <c r="B28" s="20" t="s">
        <v>1544</v>
      </c>
      <c r="C28" s="13"/>
    </row>
    <row r="29" customFormat="1" ht="28" spans="1:3">
      <c r="A29" s="9" t="s">
        <v>1090</v>
      </c>
      <c r="B29" s="20" t="s">
        <v>1544</v>
      </c>
      <c r="C29" s="13"/>
    </row>
    <row r="30" customFormat="1" ht="28" spans="1:3">
      <c r="A30" s="9" t="s">
        <v>1095</v>
      </c>
      <c r="B30" s="20" t="s">
        <v>1544</v>
      </c>
      <c r="C30" s="13"/>
    </row>
    <row r="31" customFormat="1" ht="28" spans="1:3">
      <c r="A31" s="9" t="s">
        <v>1099</v>
      </c>
      <c r="B31" s="20" t="s">
        <v>1543</v>
      </c>
      <c r="C31" s="13"/>
    </row>
    <row r="32" customFormat="1" ht="28" spans="1:3">
      <c r="A32" s="9" t="s">
        <v>1106</v>
      </c>
      <c r="B32" s="20" t="s">
        <v>1544</v>
      </c>
      <c r="C32" s="13" t="s">
        <v>1110</v>
      </c>
    </row>
    <row r="33" customFormat="1" spans="1:3">
      <c r="A33" s="9" t="s">
        <v>1112</v>
      </c>
      <c r="B33" s="13" t="s">
        <v>1002</v>
      </c>
      <c r="C33" s="13" t="s">
        <v>1116</v>
      </c>
    </row>
    <row r="34" customFormat="1" ht="28" spans="1:3">
      <c r="A34" s="9" t="s">
        <v>1118</v>
      </c>
      <c r="B34" s="20" t="s">
        <v>1545</v>
      </c>
      <c r="C34" s="13"/>
    </row>
    <row r="35" customFormat="1" ht="28" spans="1:3">
      <c r="A35" s="9" t="s">
        <v>1124</v>
      </c>
      <c r="B35" s="20" t="s">
        <v>1543</v>
      </c>
      <c r="C35" s="13"/>
    </row>
    <row r="36" customFormat="1" ht="28" spans="1:3">
      <c r="A36" s="9" t="s">
        <v>1130</v>
      </c>
      <c r="B36" s="20" t="s">
        <v>1544</v>
      </c>
      <c r="C36" s="13" t="s">
        <v>1116</v>
      </c>
    </row>
    <row r="37" customFormat="1" ht="28" spans="1:3">
      <c r="A37" s="9" t="s">
        <v>1136</v>
      </c>
      <c r="B37" s="20" t="s">
        <v>1544</v>
      </c>
      <c r="C37" s="13" t="s">
        <v>1140</v>
      </c>
    </row>
    <row r="38" customFormat="1" spans="1:3">
      <c r="A38" s="9" t="s">
        <v>1142</v>
      </c>
      <c r="B38" s="13" t="s">
        <v>1002</v>
      </c>
      <c r="C38" s="13"/>
    </row>
    <row r="39" customFormat="1" spans="1:3">
      <c r="A39" s="9" t="s">
        <v>1147</v>
      </c>
      <c r="B39" s="13" t="s">
        <v>1002</v>
      </c>
      <c r="C39" s="13"/>
    </row>
    <row r="40" customFormat="1" ht="42" spans="1:3">
      <c r="A40" s="9" t="s">
        <v>1152</v>
      </c>
      <c r="B40" s="20" t="s">
        <v>1547</v>
      </c>
      <c r="C40" s="13" t="s">
        <v>969</v>
      </c>
    </row>
    <row r="41" customFormat="1" ht="28" spans="1:3">
      <c r="A41" s="9" t="s">
        <v>1157</v>
      </c>
      <c r="B41" s="20" t="s">
        <v>1544</v>
      </c>
      <c r="C41" s="13"/>
    </row>
    <row r="42" customFormat="1" ht="28" spans="1:3">
      <c r="A42" s="9" t="s">
        <v>1163</v>
      </c>
      <c r="B42" s="20" t="s">
        <v>1544</v>
      </c>
      <c r="C42" s="13" t="s">
        <v>1167</v>
      </c>
    </row>
    <row r="43" customFormat="1" ht="28" spans="1:3">
      <c r="A43" s="9" t="s">
        <v>1169</v>
      </c>
      <c r="B43" s="20" t="s">
        <v>1544</v>
      </c>
      <c r="C43" s="13" t="s">
        <v>919</v>
      </c>
    </row>
    <row r="44" customFormat="1" ht="28" spans="1:3">
      <c r="A44" s="9" t="s">
        <v>1173</v>
      </c>
      <c r="B44" s="20" t="s">
        <v>1544</v>
      </c>
      <c r="C44" s="13" t="s">
        <v>969</v>
      </c>
    </row>
    <row r="45" customFormat="1" ht="28" spans="1:3">
      <c r="A45" s="9" t="s">
        <v>1178</v>
      </c>
      <c r="B45" s="20" t="s">
        <v>1544</v>
      </c>
      <c r="C45" s="13" t="s">
        <v>1182</v>
      </c>
    </row>
    <row r="46" customFormat="1" ht="28" spans="1:3">
      <c r="A46" s="9" t="s">
        <v>1184</v>
      </c>
      <c r="B46" s="20" t="s">
        <v>1543</v>
      </c>
      <c r="C46" s="13" t="s">
        <v>969</v>
      </c>
    </row>
    <row r="47" customFormat="1" ht="28" spans="1:3">
      <c r="A47" s="9" t="s">
        <v>1188</v>
      </c>
      <c r="B47" s="20" t="s">
        <v>1543</v>
      </c>
      <c r="C47" s="13"/>
    </row>
    <row r="48" customFormat="1" ht="28" spans="1:3">
      <c r="A48" s="9" t="s">
        <v>1194</v>
      </c>
      <c r="B48" s="20" t="s">
        <v>1544</v>
      </c>
      <c r="C48" s="13"/>
    </row>
    <row r="49" customFormat="1" spans="1:4">
      <c r="A49" s="9" t="s">
        <v>1199</v>
      </c>
      <c r="B49" s="13" t="s">
        <v>976</v>
      </c>
      <c r="C49" s="13"/>
    </row>
    <row r="50" customFormat="1" ht="28" spans="1:4">
      <c r="A50" s="9" t="s">
        <v>1203</v>
      </c>
      <c r="B50" s="20" t="s">
        <v>1544</v>
      </c>
      <c r="C50" s="13" t="s">
        <v>1549</v>
      </c>
    </row>
    <row r="51" customFormat="1" ht="28" spans="1:4">
      <c r="A51" s="9" t="s">
        <v>1209</v>
      </c>
      <c r="B51" s="20" t="s">
        <v>1544</v>
      </c>
      <c r="C51" s="13"/>
    </row>
    <row r="52" customFormat="1" ht="28" spans="1:4">
      <c r="A52" s="9" t="s">
        <v>1214</v>
      </c>
      <c r="B52" s="20" t="s">
        <v>1544</v>
      </c>
      <c r="C52" s="13" t="s">
        <v>1218</v>
      </c>
    </row>
    <row r="53" customFormat="1" ht="28" spans="1:4">
      <c r="A53" s="9" t="s">
        <v>1220</v>
      </c>
      <c r="B53" s="20" t="s">
        <v>1544</v>
      </c>
      <c r="C53" s="13" t="s">
        <v>1550</v>
      </c>
    </row>
    <row r="54" customFormat="1" spans="1:4">
      <c r="A54" s="9" t="s">
        <v>1228</v>
      </c>
      <c r="B54" s="13" t="s">
        <v>976</v>
      </c>
      <c r="C54" s="13"/>
    </row>
    <row r="55" customFormat="1" ht="28" spans="1:4">
      <c r="A55" s="9" t="s">
        <v>1233</v>
      </c>
      <c r="B55" s="20" t="s">
        <v>1544</v>
      </c>
      <c r="C55" s="13"/>
    </row>
    <row r="56" customFormat="1" ht="28" spans="1:4">
      <c r="A56" s="9" t="s">
        <v>1238</v>
      </c>
      <c r="B56" s="20" t="s">
        <v>1544</v>
      </c>
      <c r="C56" s="13" t="s">
        <v>969</v>
      </c>
    </row>
    <row r="57" customFormat="1" ht="28" spans="1:4">
      <c r="A57" s="9" t="s">
        <v>1243</v>
      </c>
      <c r="B57" s="20" t="s">
        <v>1543</v>
      </c>
      <c r="C57" s="13" t="s">
        <v>1246</v>
      </c>
      <c r="D57" s="9" t="s">
        <v>1551</v>
      </c>
    </row>
    <row r="58" customFormat="1" ht="28" spans="1:4">
      <c r="A58" s="9" t="s">
        <v>1248</v>
      </c>
      <c r="B58" s="20" t="s">
        <v>1544</v>
      </c>
      <c r="C58" s="13" t="s">
        <v>1252</v>
      </c>
    </row>
    <row r="59" customFormat="1" spans="1:4">
      <c r="A59" s="9" t="s">
        <v>1254</v>
      </c>
      <c r="B59" s="13" t="s">
        <v>1002</v>
      </c>
      <c r="C59" s="13"/>
    </row>
    <row r="60" customFormat="1" ht="28" spans="1:4">
      <c r="A60" s="9" t="s">
        <v>1259</v>
      </c>
      <c r="B60" s="20" t="s">
        <v>1543</v>
      </c>
      <c r="C60" s="13" t="s">
        <v>969</v>
      </c>
    </row>
    <row r="61" customFormat="1" ht="28" spans="1:4">
      <c r="A61" s="9" t="s">
        <v>1264</v>
      </c>
      <c r="B61" s="20" t="s">
        <v>1548</v>
      </c>
      <c r="C61" s="13"/>
    </row>
    <row r="62" customFormat="1" ht="28" spans="1:4">
      <c r="A62" s="9" t="s">
        <v>1269</v>
      </c>
      <c r="B62" s="20" t="s">
        <v>1544</v>
      </c>
      <c r="C62" s="13" t="s">
        <v>919</v>
      </c>
    </row>
    <row r="63" customFormat="1" spans="1:4">
      <c r="A63" s="9" t="s">
        <v>1274</v>
      </c>
      <c r="B63" s="13" t="s">
        <v>976</v>
      </c>
      <c r="C63" s="13" t="s">
        <v>1276</v>
      </c>
    </row>
    <row r="64" customFormat="1" ht="28" spans="1:4">
      <c r="A64" s="9" t="s">
        <v>1278</v>
      </c>
      <c r="B64" s="20" t="s">
        <v>1545</v>
      </c>
      <c r="C64" s="13" t="s">
        <v>1282</v>
      </c>
    </row>
    <row r="65" customFormat="1" ht="28" spans="1:3">
      <c r="A65" s="9" t="s">
        <v>1284</v>
      </c>
      <c r="B65" s="20" t="s">
        <v>1544</v>
      </c>
      <c r="C65" s="13" t="s">
        <v>1276</v>
      </c>
    </row>
    <row r="66" customFormat="1" ht="28" spans="1:3">
      <c r="A66" s="9" t="s">
        <v>1290</v>
      </c>
      <c r="B66" s="20" t="s">
        <v>1548</v>
      </c>
      <c r="C66" s="13" t="s">
        <v>1182</v>
      </c>
    </row>
    <row r="67" customFormat="1" ht="28" spans="1:3">
      <c r="A67" s="9" t="s">
        <v>1294</v>
      </c>
      <c r="B67" s="20" t="s">
        <v>1544</v>
      </c>
      <c r="C67" s="13" t="s">
        <v>912</v>
      </c>
    </row>
    <row r="68" customFormat="1" ht="28" spans="1:3">
      <c r="A68" s="9" t="s">
        <v>1298</v>
      </c>
      <c r="B68" s="20" t="s">
        <v>1544</v>
      </c>
      <c r="C68" s="13" t="s">
        <v>969</v>
      </c>
    </row>
    <row r="69" customFormat="1" ht="28" spans="1:3">
      <c r="A69" s="9" t="s">
        <v>1303</v>
      </c>
      <c r="B69" s="20" t="s">
        <v>1544</v>
      </c>
      <c r="C69" s="13" t="s">
        <v>1306</v>
      </c>
    </row>
    <row r="70" customFormat="1" ht="28" spans="1:3">
      <c r="A70" s="9" t="s">
        <v>1308</v>
      </c>
      <c r="B70" s="21" t="s">
        <v>1546</v>
      </c>
      <c r="C70" s="13"/>
    </row>
    <row r="71" customFormat="1" ht="28" spans="1:3">
      <c r="A71" s="9" t="s">
        <v>1314</v>
      </c>
      <c r="B71" s="20" t="s">
        <v>1544</v>
      </c>
      <c r="C71" s="13" t="s">
        <v>912</v>
      </c>
    </row>
    <row r="72" customFormat="1" ht="28" spans="1:3">
      <c r="A72" s="9" t="s">
        <v>1319</v>
      </c>
      <c r="B72" s="20" t="s">
        <v>1544</v>
      </c>
      <c r="C72" s="13" t="s">
        <v>1218</v>
      </c>
    </row>
    <row r="73" customFormat="1" ht="28" spans="1:3">
      <c r="A73" s="9" t="s">
        <v>1323</v>
      </c>
      <c r="B73" s="20" t="s">
        <v>1543</v>
      </c>
      <c r="C73" s="13" t="s">
        <v>1327</v>
      </c>
    </row>
    <row r="74" customFormat="1" spans="1:3">
      <c r="A74" s="9" t="s">
        <v>1329</v>
      </c>
      <c r="B74" s="13" t="s">
        <v>1002</v>
      </c>
      <c r="C74" s="13" t="s">
        <v>996</v>
      </c>
    </row>
    <row r="75" customFormat="1" ht="28" spans="1:3">
      <c r="A75" s="9" t="s">
        <v>1335</v>
      </c>
      <c r="B75" s="20" t="s">
        <v>1544</v>
      </c>
      <c r="C75" s="13" t="s">
        <v>919</v>
      </c>
    </row>
    <row r="76" customFormat="1" ht="28" spans="1:3">
      <c r="A76" s="9" t="s">
        <v>1340</v>
      </c>
      <c r="B76" s="20" t="s">
        <v>1543</v>
      </c>
      <c r="C76" s="13" t="s">
        <v>1345</v>
      </c>
    </row>
    <row r="77" customFormat="1" ht="28" spans="1:3">
      <c r="A77" s="9" t="s">
        <v>1347</v>
      </c>
      <c r="B77" s="20" t="s">
        <v>1543</v>
      </c>
      <c r="C77" s="13" t="s">
        <v>996</v>
      </c>
    </row>
    <row r="78" customFormat="1" ht="28" spans="1:3">
      <c r="A78" s="9" t="s">
        <v>1352</v>
      </c>
      <c r="B78" s="20" t="s">
        <v>1544</v>
      </c>
      <c r="C78" s="13"/>
    </row>
    <row r="79" customFormat="1" ht="28" spans="1:3">
      <c r="A79" s="9" t="s">
        <v>1358</v>
      </c>
      <c r="B79" s="20" t="s">
        <v>1548</v>
      </c>
      <c r="C79" s="13"/>
    </row>
    <row r="80" customFormat="1" ht="28" spans="1:3">
      <c r="A80" s="9" t="s">
        <v>1363</v>
      </c>
      <c r="B80" s="20" t="s">
        <v>1543</v>
      </c>
      <c r="C80" s="13"/>
    </row>
    <row r="81" customFormat="1" ht="28" spans="1:4">
      <c r="A81" s="9" t="s">
        <v>1368</v>
      </c>
      <c r="B81" s="20" t="s">
        <v>1544</v>
      </c>
      <c r="C81" s="13" t="s">
        <v>1552</v>
      </c>
      <c r="D81" s="9" t="s">
        <v>1551</v>
      </c>
    </row>
    <row r="82" customFormat="1" ht="28" spans="1:4">
      <c r="A82" s="9" t="s">
        <v>1374</v>
      </c>
      <c r="B82" s="20" t="s">
        <v>1548</v>
      </c>
      <c r="C82" s="13"/>
    </row>
    <row r="83" customFormat="1" ht="28" spans="1:4">
      <c r="A83" s="9" t="s">
        <v>1380</v>
      </c>
      <c r="B83" s="20" t="s">
        <v>1544</v>
      </c>
      <c r="C83" s="13"/>
    </row>
    <row r="84" customFormat="1" spans="1:4">
      <c r="A84" s="9" t="s">
        <v>1387</v>
      </c>
      <c r="B84" s="13" t="s">
        <v>976</v>
      </c>
      <c r="C84" s="13" t="s">
        <v>969</v>
      </c>
    </row>
    <row r="85" customFormat="1" ht="28" spans="1:4">
      <c r="A85" s="9" t="s">
        <v>1392</v>
      </c>
      <c r="B85" s="20" t="s">
        <v>1544</v>
      </c>
      <c r="C85" s="13"/>
    </row>
    <row r="86" customFormat="1" ht="28" spans="1:4">
      <c r="A86" s="9" t="s">
        <v>1396</v>
      </c>
      <c r="B86" s="20" t="s">
        <v>1544</v>
      </c>
      <c r="C86" s="13" t="s">
        <v>1116</v>
      </c>
    </row>
    <row r="87" customFormat="1" spans="1:4">
      <c r="A87" s="9" t="s">
        <v>1400</v>
      </c>
      <c r="B87" s="13" t="s">
        <v>1002</v>
      </c>
      <c r="C87" s="13"/>
    </row>
    <row r="88" customFormat="1" ht="28" spans="1:4">
      <c r="A88" s="9" t="s">
        <v>1404</v>
      </c>
      <c r="B88" s="20" t="s">
        <v>1545</v>
      </c>
      <c r="C88" s="13" t="s">
        <v>1282</v>
      </c>
    </row>
    <row r="89" customFormat="1" ht="28" spans="1:4">
      <c r="A89" s="9" t="s">
        <v>1409</v>
      </c>
      <c r="B89" s="20" t="s">
        <v>1548</v>
      </c>
      <c r="C89" s="13"/>
    </row>
    <row r="90" customFormat="1" ht="28" spans="1:4">
      <c r="A90" s="9" t="s">
        <v>1414</v>
      </c>
      <c r="B90" s="20" t="s">
        <v>1545</v>
      </c>
      <c r="C90" s="13" t="s">
        <v>1549</v>
      </c>
    </row>
    <row r="91" customFormat="1" ht="28" spans="1:4">
      <c r="A91" s="9" t="s">
        <v>1420</v>
      </c>
      <c r="B91" s="20" t="s">
        <v>1544</v>
      </c>
      <c r="C91" s="9" t="s">
        <v>969</v>
      </c>
    </row>
    <row r="92" customFormat="1" ht="28" spans="1:4">
      <c r="A92" s="9" t="s">
        <v>1425</v>
      </c>
      <c r="B92" s="20" t="s">
        <v>1544</v>
      </c>
      <c r="C92" s="13"/>
    </row>
    <row r="93" customFormat="1" ht="28" spans="1:4">
      <c r="A93" s="9" t="s">
        <v>1432</v>
      </c>
      <c r="B93" s="20" t="s">
        <v>1544</v>
      </c>
      <c r="C93" s="13" t="s">
        <v>912</v>
      </c>
    </row>
    <row r="94" customFormat="1" spans="1:4">
      <c r="A94" s="9" t="s">
        <v>1439</v>
      </c>
      <c r="B94" s="13" t="s">
        <v>976</v>
      </c>
      <c r="C94" s="13"/>
    </row>
    <row r="95" customFormat="1" spans="1:4">
      <c r="A95" s="9" t="s">
        <v>1445</v>
      </c>
      <c r="B95" s="13" t="s">
        <v>1002</v>
      </c>
      <c r="C95" s="13"/>
    </row>
    <row r="96" customFormat="1" ht="28" spans="1:4">
      <c r="A96" s="9" t="s">
        <v>1448</v>
      </c>
      <c r="B96" s="20" t="s">
        <v>1548</v>
      </c>
      <c r="C96" s="13"/>
    </row>
    <row r="97" customFormat="1" ht="42" spans="1:4">
      <c r="A97" s="9" t="s">
        <v>1453</v>
      </c>
      <c r="B97" s="20" t="s">
        <v>1547</v>
      </c>
      <c r="C97" s="13" t="s">
        <v>1456</v>
      </c>
    </row>
    <row r="98" customFormat="1" ht="28" spans="1:4">
      <c r="A98" s="9" t="s">
        <v>1458</v>
      </c>
      <c r="B98" s="20" t="s">
        <v>1544</v>
      </c>
      <c r="C98" s="13" t="s">
        <v>1553</v>
      </c>
    </row>
    <row r="99" customFormat="1" spans="1:4">
      <c r="A99" s="9" t="s">
        <v>1463</v>
      </c>
      <c r="B99" s="13" t="s">
        <v>976</v>
      </c>
      <c r="C99" s="13" t="s">
        <v>912</v>
      </c>
      <c r="D99" s="9" t="s">
        <v>1551</v>
      </c>
    </row>
    <row r="100" customFormat="1" spans="1:4">
      <c r="A100" s="9" t="s">
        <v>1468</v>
      </c>
      <c r="B100" s="13" t="s">
        <v>1002</v>
      </c>
      <c r="C100" s="13"/>
    </row>
    <row r="101" customFormat="1" ht="28" spans="1:4">
      <c r="A101" s="9" t="s">
        <v>1472</v>
      </c>
      <c r="B101" s="20" t="s">
        <v>1544</v>
      </c>
      <c r="C101" s="13" t="s">
        <v>969</v>
      </c>
      <c r="D101" s="9" t="s">
        <v>1554</v>
      </c>
    </row>
    <row r="102" customFormat="1" spans="1:4">
      <c r="A102" s="9" t="s">
        <v>1476</v>
      </c>
      <c r="B102" s="13" t="s">
        <v>976</v>
      </c>
      <c r="C102" s="13"/>
    </row>
    <row r="103" customFormat="1" ht="28" spans="1:4">
      <c r="A103" s="9" t="s">
        <v>1483</v>
      </c>
      <c r="B103" s="21" t="s">
        <v>1546</v>
      </c>
    </row>
    <row r="104" customFormat="1" spans="1:4">
      <c r="A104" s="9" t="s">
        <v>1488</v>
      </c>
      <c r="B104" s="13" t="s">
        <v>976</v>
      </c>
      <c r="C104" s="13" t="s">
        <v>969</v>
      </c>
    </row>
    <row r="105" customFormat="1" ht="28" spans="1:4">
      <c r="A105" s="9" t="s">
        <v>1493</v>
      </c>
      <c r="B105" s="20" t="s">
        <v>1544</v>
      </c>
      <c r="C105" s="13" t="s">
        <v>1498</v>
      </c>
    </row>
    <row r="106" customFormat="1" ht="28" spans="1:4">
      <c r="A106" s="9" t="s">
        <v>1500</v>
      </c>
      <c r="B106" s="20" t="s">
        <v>1544</v>
      </c>
      <c r="C106" s="13"/>
    </row>
    <row r="107" customFormat="1" ht="28" spans="1:4">
      <c r="A107" s="9" t="s">
        <v>1505</v>
      </c>
      <c r="B107" s="20" t="s">
        <v>1544</v>
      </c>
      <c r="C107" s="13"/>
    </row>
    <row r="108" customFormat="1" ht="28" spans="1:4">
      <c r="A108" s="9" t="s">
        <v>1510</v>
      </c>
      <c r="B108" s="20" t="s">
        <v>1544</v>
      </c>
      <c r="C108" s="13" t="s">
        <v>1116</v>
      </c>
    </row>
    <row r="109" customFormat="1" spans="1:4">
      <c r="A109" s="9" t="s">
        <v>1516</v>
      </c>
      <c r="B109" s="13" t="s">
        <v>1002</v>
      </c>
      <c r="C109" s="13"/>
    </row>
    <row r="110" customFormat="1" ht="28" spans="1:4">
      <c r="A110" s="9" t="s">
        <v>1520</v>
      </c>
      <c r="B110" s="20" t="s">
        <v>1543</v>
      </c>
      <c r="C110" s="13"/>
    </row>
  </sheetData>
  <sortState ref="E2:F110">
    <sortCondition ref="F31"/>
  </sortState>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1"/>
  <sheetViews>
    <sheetView topLeftCell="A94" workbookViewId="0">
      <selection activeCell="E25" sqref="E25"/>
    </sheetView>
  </sheetViews>
  <sheetFormatPr defaultColWidth="8.72727272727273" defaultRowHeight="14" outlineLevelCol="5"/>
  <cols>
    <col min="1" max="1" width="53.3636363636364"/>
    <col min="2" max="2" width="14.9090909090909"/>
    <col min="5" max="5" width="8.72727272727273" style="9"/>
    <col min="6" max="6" width="53.3636363636364" style="9" customWidth="1"/>
  </cols>
  <sheetData>
    <row r="1" spans="1:6">
      <c r="E1" s="10" t="s">
        <v>890</v>
      </c>
      <c r="F1" s="10" t="s">
        <v>899</v>
      </c>
    </row>
    <row r="2" spans="1:6">
      <c r="D2" s="14">
        <v>4</v>
      </c>
      <c r="E2" s="9" t="s">
        <v>1157</v>
      </c>
      <c r="F2" s="13" t="s">
        <v>1161</v>
      </c>
    </row>
    <row r="3" spans="1:6">
      <c r="A3" t="s">
        <v>899</v>
      </c>
      <c r="B3" t="s">
        <v>1555</v>
      </c>
      <c r="D3" s="14"/>
      <c r="E3" s="9" t="s">
        <v>1352</v>
      </c>
      <c r="F3" s="13" t="s">
        <v>1161</v>
      </c>
    </row>
    <row r="4" spans="1:6">
      <c r="A4" t="s">
        <v>1161</v>
      </c>
      <c r="B4">
        <v>4</v>
      </c>
      <c r="D4" s="14"/>
      <c r="E4" s="9" t="s">
        <v>1453</v>
      </c>
      <c r="F4" s="13" t="s">
        <v>1161</v>
      </c>
    </row>
    <row r="5" spans="1:6">
      <c r="A5" t="s">
        <v>1004</v>
      </c>
      <c r="B5">
        <v>5</v>
      </c>
      <c r="D5" s="14"/>
      <c r="E5" s="9" t="s">
        <v>1468</v>
      </c>
      <c r="F5" s="13" t="s">
        <v>1161</v>
      </c>
    </row>
    <row r="6" spans="1:6">
      <c r="A6" t="s">
        <v>1036</v>
      </c>
      <c r="B6">
        <v>1</v>
      </c>
      <c r="D6" s="14">
        <v>5</v>
      </c>
      <c r="E6" s="9" t="s">
        <v>998</v>
      </c>
      <c r="F6" s="13" t="s">
        <v>1004</v>
      </c>
    </row>
    <row r="7" spans="1:6">
      <c r="A7" t="s">
        <v>968</v>
      </c>
      <c r="B7">
        <v>2</v>
      </c>
      <c r="D7" s="14"/>
      <c r="E7" s="9" t="s">
        <v>1052</v>
      </c>
      <c r="F7" s="13" t="s">
        <v>1004</v>
      </c>
    </row>
    <row r="8" spans="1:6">
      <c r="A8" t="s">
        <v>1333</v>
      </c>
      <c r="B8">
        <v>2</v>
      </c>
      <c r="D8" s="14"/>
      <c r="E8" s="9" t="s">
        <v>1142</v>
      </c>
      <c r="F8" s="13" t="s">
        <v>1004</v>
      </c>
    </row>
    <row r="9" spans="1:6">
      <c r="A9" t="s">
        <v>1077</v>
      </c>
      <c r="B9">
        <v>1</v>
      </c>
      <c r="D9" s="14"/>
      <c r="E9" s="9" t="s">
        <v>1445</v>
      </c>
      <c r="F9" s="13" t="s">
        <v>1004</v>
      </c>
    </row>
    <row r="10" spans="1:6">
      <c r="A10" t="s">
        <v>1019</v>
      </c>
      <c r="B10">
        <v>3</v>
      </c>
      <c r="D10" s="14"/>
      <c r="E10" s="9" t="s">
        <v>1516</v>
      </c>
      <c r="F10" s="13" t="s">
        <v>1004</v>
      </c>
    </row>
    <row r="11" spans="1:6">
      <c r="A11" t="s">
        <v>1115</v>
      </c>
      <c r="B11">
        <v>2</v>
      </c>
      <c r="E11" s="9" t="s">
        <v>1031</v>
      </c>
      <c r="F11" s="13" t="s">
        <v>1036</v>
      </c>
    </row>
    <row r="12" spans="1:6">
      <c r="A12" t="s">
        <v>928</v>
      </c>
      <c r="B12">
        <v>2</v>
      </c>
      <c r="D12" s="14">
        <v>2</v>
      </c>
      <c r="E12" s="9" t="s">
        <v>962</v>
      </c>
      <c r="F12" s="13" t="s">
        <v>968</v>
      </c>
    </row>
    <row r="13" spans="1:6">
      <c r="A13" t="s">
        <v>1344</v>
      </c>
      <c r="B13">
        <v>1</v>
      </c>
      <c r="D13" s="14"/>
      <c r="E13" s="9" t="s">
        <v>1194</v>
      </c>
      <c r="F13" s="13" t="s">
        <v>968</v>
      </c>
    </row>
    <row r="14" spans="1:6">
      <c r="A14" t="s">
        <v>1059</v>
      </c>
      <c r="B14">
        <v>1</v>
      </c>
      <c r="D14" s="14">
        <v>2</v>
      </c>
      <c r="E14" s="9" t="s">
        <v>1329</v>
      </c>
      <c r="F14" s="9" t="s">
        <v>1333</v>
      </c>
    </row>
    <row r="15" spans="1:6">
      <c r="A15" t="s">
        <v>1257</v>
      </c>
      <c r="B15">
        <v>1</v>
      </c>
      <c r="D15" s="14"/>
      <c r="E15" s="9" t="s">
        <v>1400</v>
      </c>
      <c r="F15" s="13" t="s">
        <v>1333</v>
      </c>
    </row>
    <row r="16" spans="1:6">
      <c r="A16" t="s">
        <v>1423</v>
      </c>
      <c r="B16">
        <v>1</v>
      </c>
      <c r="E16" s="9" t="s">
        <v>1073</v>
      </c>
      <c r="F16" s="13" t="s">
        <v>1077</v>
      </c>
    </row>
    <row r="17" spans="1:6">
      <c r="A17" t="s">
        <v>959</v>
      </c>
      <c r="B17">
        <v>14</v>
      </c>
      <c r="D17" s="14">
        <v>3</v>
      </c>
      <c r="E17" s="9" t="s">
        <v>1014</v>
      </c>
      <c r="F17" s="13" t="s">
        <v>1019</v>
      </c>
    </row>
    <row r="18" spans="1:6">
      <c r="A18" t="s">
        <v>983</v>
      </c>
      <c r="B18">
        <v>3</v>
      </c>
      <c r="D18" s="14"/>
      <c r="E18" s="9" t="s">
        <v>1214</v>
      </c>
      <c r="F18" s="13" t="s">
        <v>1019</v>
      </c>
    </row>
    <row r="19" spans="1:6">
      <c r="A19" t="s">
        <v>918</v>
      </c>
      <c r="B19">
        <v>1</v>
      </c>
      <c r="D19" s="14"/>
      <c r="E19" s="9" t="s">
        <v>1314</v>
      </c>
      <c r="F19" s="13" t="s">
        <v>1019</v>
      </c>
    </row>
    <row r="20" spans="1:6">
      <c r="A20" t="s">
        <v>946</v>
      </c>
      <c r="B20">
        <v>3</v>
      </c>
      <c r="D20" s="14">
        <v>2</v>
      </c>
      <c r="E20" s="9" t="s">
        <v>1112</v>
      </c>
      <c r="F20" s="13" t="s">
        <v>1115</v>
      </c>
    </row>
    <row r="21" spans="1:6">
      <c r="A21" t="s">
        <v>953</v>
      </c>
      <c r="B21">
        <v>3</v>
      </c>
      <c r="D21" s="14"/>
      <c r="E21" s="9" t="s">
        <v>1147</v>
      </c>
      <c r="F21" s="13" t="s">
        <v>1115</v>
      </c>
    </row>
    <row r="22" spans="1:6">
      <c r="A22" t="s">
        <v>1225</v>
      </c>
      <c r="B22">
        <v>2</v>
      </c>
      <c r="D22" s="14">
        <v>2</v>
      </c>
      <c r="E22" s="9" t="s">
        <v>921</v>
      </c>
      <c r="F22" s="13" t="s">
        <v>928</v>
      </c>
    </row>
    <row r="23" spans="1:6">
      <c r="A23" t="s">
        <v>937</v>
      </c>
      <c r="B23">
        <v>1</v>
      </c>
      <c r="D23" s="14"/>
      <c r="E23" s="9" t="s">
        <v>1368</v>
      </c>
      <c r="F23" s="13" t="s">
        <v>928</v>
      </c>
    </row>
    <row r="24" spans="1:6">
      <c r="A24" t="s">
        <v>1065</v>
      </c>
      <c r="B24">
        <v>5</v>
      </c>
      <c r="E24" s="9" t="s">
        <v>1340</v>
      </c>
      <c r="F24" s="13" t="s">
        <v>1344</v>
      </c>
    </row>
    <row r="25" spans="1:6">
      <c r="A25" t="s">
        <v>1430</v>
      </c>
      <c r="B25">
        <v>1</v>
      </c>
      <c r="C25" s="14">
        <v>11</v>
      </c>
      <c r="D25" s="22"/>
    </row>
    <row r="26" spans="1:6">
      <c r="A26" t="s">
        <v>1385</v>
      </c>
      <c r="B26">
        <v>1</v>
      </c>
      <c r="C26" s="14"/>
      <c r="D26" s="22"/>
      <c r="E26" s="9" t="s">
        <v>1056</v>
      </c>
      <c r="F26" s="13" t="s">
        <v>1059</v>
      </c>
    </row>
    <row r="27" spans="1:6">
      <c r="A27" t="s">
        <v>1497</v>
      </c>
      <c r="B27">
        <v>1</v>
      </c>
      <c r="C27" s="14"/>
      <c r="E27" s="9" t="s">
        <v>1254</v>
      </c>
      <c r="F27" s="13" t="s">
        <v>1257</v>
      </c>
    </row>
    <row r="28" spans="1:6">
      <c r="A28" t="s">
        <v>1176</v>
      </c>
      <c r="B28">
        <v>1</v>
      </c>
      <c r="C28" s="14"/>
      <c r="E28" s="9" t="s">
        <v>1420</v>
      </c>
      <c r="F28" s="13" t="s">
        <v>1423</v>
      </c>
    </row>
    <row r="29" spans="1:6">
      <c r="A29" t="s">
        <v>1122</v>
      </c>
      <c r="B29">
        <v>1</v>
      </c>
      <c r="C29" s="14"/>
      <c r="D29" s="14">
        <v>14</v>
      </c>
      <c r="E29" s="9" t="s">
        <v>955</v>
      </c>
      <c r="F29" s="13" t="s">
        <v>959</v>
      </c>
    </row>
    <row r="30" spans="1:6">
      <c r="A30" t="s">
        <v>1084</v>
      </c>
      <c r="B30">
        <v>2</v>
      </c>
      <c r="C30" s="14"/>
      <c r="D30" s="14"/>
      <c r="E30" s="9" t="s">
        <v>985</v>
      </c>
      <c r="F30" s="13" t="s">
        <v>959</v>
      </c>
    </row>
    <row r="31" spans="1:6">
      <c r="A31" t="s">
        <v>911</v>
      </c>
      <c r="B31">
        <v>3</v>
      </c>
      <c r="C31" s="14"/>
      <c r="D31" s="14"/>
      <c r="E31" s="9" t="s">
        <v>1067</v>
      </c>
      <c r="F31" s="13" t="s">
        <v>959</v>
      </c>
    </row>
    <row r="32" spans="1:6">
      <c r="A32" t="s">
        <v>1288</v>
      </c>
      <c r="B32">
        <v>1</v>
      </c>
      <c r="D32" s="14"/>
      <c r="E32" s="9" t="s">
        <v>1106</v>
      </c>
      <c r="F32" s="13" t="s">
        <v>959</v>
      </c>
    </row>
    <row r="33" spans="1:6">
      <c r="A33" t="s">
        <v>1128</v>
      </c>
      <c r="B33">
        <v>5</v>
      </c>
      <c r="D33" s="14"/>
      <c r="E33" s="9" t="s">
        <v>1248</v>
      </c>
      <c r="F33" s="13" t="s">
        <v>959</v>
      </c>
    </row>
    <row r="34" spans="1:6">
      <c r="A34" t="s">
        <v>978</v>
      </c>
      <c r="B34">
        <v>9</v>
      </c>
      <c r="D34" s="14"/>
      <c r="E34" s="9" t="s">
        <v>1269</v>
      </c>
      <c r="F34" s="13" t="s">
        <v>959</v>
      </c>
    </row>
    <row r="35" spans="1:6">
      <c r="A35" t="s">
        <v>1480</v>
      </c>
      <c r="B35">
        <v>1</v>
      </c>
      <c r="D35" s="14"/>
      <c r="E35" s="9" t="s">
        <v>1298</v>
      </c>
      <c r="F35" s="13" t="s">
        <v>959</v>
      </c>
    </row>
    <row r="36" spans="1:6">
      <c r="A36" t="s">
        <v>1011</v>
      </c>
      <c r="B36">
        <v>8</v>
      </c>
      <c r="C36" s="14">
        <v>10</v>
      </c>
      <c r="D36" s="14"/>
      <c r="E36" s="9" t="s">
        <v>1319</v>
      </c>
      <c r="F36" s="13" t="s">
        <v>959</v>
      </c>
    </row>
    <row r="37" spans="1:6">
      <c r="A37" t="s">
        <v>1042</v>
      </c>
      <c r="B37">
        <v>5</v>
      </c>
      <c r="C37" s="14"/>
      <c r="D37" s="14"/>
      <c r="E37" s="9" t="s">
        <v>1335</v>
      </c>
      <c r="F37" s="13" t="s">
        <v>959</v>
      </c>
    </row>
    <row r="38" spans="1:6">
      <c r="A38" t="s">
        <v>1466</v>
      </c>
      <c r="B38">
        <v>2</v>
      </c>
      <c r="D38" s="14"/>
      <c r="E38" s="9" t="s">
        <v>1409</v>
      </c>
      <c r="F38" s="13" t="s">
        <v>959</v>
      </c>
    </row>
    <row r="39" spans="1:6">
      <c r="A39" t="s">
        <v>1443</v>
      </c>
      <c r="B39">
        <v>1</v>
      </c>
      <c r="D39" s="14"/>
      <c r="E39" s="9" t="s">
        <v>1432</v>
      </c>
      <c r="F39" s="13" t="s">
        <v>959</v>
      </c>
    </row>
    <row r="40" spans="1:6">
      <c r="A40" t="s">
        <v>1181</v>
      </c>
      <c r="B40">
        <v>5</v>
      </c>
      <c r="D40" s="14"/>
      <c r="E40" s="9" t="s">
        <v>1458</v>
      </c>
      <c r="F40" s="13" t="s">
        <v>959</v>
      </c>
    </row>
    <row r="41" spans="1:6">
      <c r="A41" t="s">
        <v>1050</v>
      </c>
      <c r="B41">
        <v>4</v>
      </c>
      <c r="D41" s="14"/>
      <c r="E41" s="9" t="s">
        <v>1472</v>
      </c>
      <c r="F41" s="13" t="s">
        <v>959</v>
      </c>
    </row>
    <row r="42" spans="1:6">
      <c r="A42" t="s">
        <v>1530</v>
      </c>
      <c r="D42" s="14"/>
      <c r="E42" s="9" t="s">
        <v>1505</v>
      </c>
      <c r="F42" s="13" t="s">
        <v>959</v>
      </c>
    </row>
    <row r="43" spans="1:6">
      <c r="A43" t="s">
        <v>1532</v>
      </c>
      <c r="B43">
        <v>109</v>
      </c>
      <c r="D43" s="14">
        <v>3</v>
      </c>
      <c r="E43" s="9" t="s">
        <v>980</v>
      </c>
      <c r="F43" s="13" t="s">
        <v>983</v>
      </c>
    </row>
    <row r="44" spans="1:6">
      <c r="D44" s="14"/>
      <c r="E44" s="9" t="s">
        <v>1086</v>
      </c>
      <c r="F44" s="13" t="s">
        <v>983</v>
      </c>
    </row>
    <row r="45" spans="1:6">
      <c r="D45" s="14"/>
      <c r="E45" s="9" t="s">
        <v>1163</v>
      </c>
      <c r="F45" s="13" t="s">
        <v>983</v>
      </c>
    </row>
    <row r="46" spans="1:6">
      <c r="E46" s="9" t="s">
        <v>914</v>
      </c>
      <c r="F46" s="13" t="s">
        <v>918</v>
      </c>
    </row>
    <row r="47" spans="1:6">
      <c r="D47" s="14">
        <v>3</v>
      </c>
      <c r="E47" s="9" t="s">
        <v>940</v>
      </c>
      <c r="F47" s="13" t="s">
        <v>946</v>
      </c>
    </row>
    <row r="48" spans="1:6">
      <c r="D48" s="14"/>
      <c r="E48" s="9" t="s">
        <v>1294</v>
      </c>
      <c r="F48" s="13" t="s">
        <v>946</v>
      </c>
    </row>
    <row r="49" spans="4:6">
      <c r="D49" s="14"/>
      <c r="E49" s="9" t="s">
        <v>1510</v>
      </c>
      <c r="F49" s="13" t="s">
        <v>946</v>
      </c>
    </row>
    <row r="50" spans="4:6">
      <c r="D50" s="14">
        <v>3</v>
      </c>
      <c r="E50" s="9" t="s">
        <v>948</v>
      </c>
      <c r="F50" s="13" t="s">
        <v>953</v>
      </c>
    </row>
    <row r="51" spans="4:6">
      <c r="D51" s="14"/>
      <c r="E51" s="9" t="s">
        <v>1021</v>
      </c>
      <c r="F51" s="13" t="s">
        <v>953</v>
      </c>
    </row>
    <row r="52" spans="4:6">
      <c r="D52" s="14"/>
      <c r="E52" s="9" t="s">
        <v>1095</v>
      </c>
      <c r="F52" s="13" t="s">
        <v>953</v>
      </c>
    </row>
    <row r="53" spans="4:6">
      <c r="D53" s="14">
        <v>2</v>
      </c>
      <c r="E53" s="9" t="s">
        <v>1220</v>
      </c>
      <c r="F53" s="13" t="s">
        <v>1225</v>
      </c>
    </row>
    <row r="54" spans="4:6">
      <c r="D54" s="14"/>
      <c r="E54" s="9" t="s">
        <v>1303</v>
      </c>
      <c r="F54" s="13" t="s">
        <v>1225</v>
      </c>
    </row>
    <row r="55" spans="4:6">
      <c r="D55" s="14">
        <v>11</v>
      </c>
      <c r="E55" s="9" t="s">
        <v>931</v>
      </c>
      <c r="F55" s="13" t="s">
        <v>937</v>
      </c>
    </row>
    <row r="56" spans="4:6">
      <c r="D56" s="14"/>
      <c r="E56" s="9" t="s">
        <v>1062</v>
      </c>
      <c r="F56" s="13" t="s">
        <v>1065</v>
      </c>
    </row>
    <row r="57" spans="4:6">
      <c r="D57" s="14"/>
      <c r="E57" s="9" t="s">
        <v>1090</v>
      </c>
      <c r="F57" s="13" t="s">
        <v>1065</v>
      </c>
    </row>
    <row r="58" spans="4:6">
      <c r="D58" s="14"/>
      <c r="E58" s="9" t="s">
        <v>1169</v>
      </c>
      <c r="F58" s="13" t="s">
        <v>1065</v>
      </c>
    </row>
    <row r="59" spans="4:6">
      <c r="D59" s="14"/>
      <c r="E59" s="9" t="s">
        <v>1374</v>
      </c>
      <c r="F59" s="13" t="s">
        <v>1065</v>
      </c>
    </row>
    <row r="60" spans="4:6">
      <c r="D60" s="14"/>
      <c r="E60" s="9" t="s">
        <v>1448</v>
      </c>
      <c r="F60" s="13" t="s">
        <v>1065</v>
      </c>
    </row>
    <row r="61" spans="4:6">
      <c r="D61" s="14"/>
      <c r="E61" s="9" t="s">
        <v>1425</v>
      </c>
      <c r="F61" s="13" t="s">
        <v>1430</v>
      </c>
    </row>
    <row r="62" spans="4:6">
      <c r="D62" s="14"/>
      <c r="E62" s="9" t="s">
        <v>1380</v>
      </c>
      <c r="F62" s="13" t="s">
        <v>1385</v>
      </c>
    </row>
    <row r="63" spans="4:6">
      <c r="D63" s="14"/>
      <c r="E63" s="9" t="s">
        <v>1493</v>
      </c>
      <c r="F63" s="13" t="s">
        <v>1497</v>
      </c>
    </row>
    <row r="64" spans="4:6">
      <c r="D64" s="14"/>
      <c r="E64" s="9" t="s">
        <v>1173</v>
      </c>
      <c r="F64" s="13" t="s">
        <v>1176</v>
      </c>
    </row>
    <row r="65" spans="4:6">
      <c r="D65" s="14"/>
      <c r="E65" s="9" t="s">
        <v>1118</v>
      </c>
      <c r="F65" s="13" t="s">
        <v>1122</v>
      </c>
    </row>
    <row r="66" spans="4:6">
      <c r="D66" s="14">
        <v>2</v>
      </c>
      <c r="E66" s="9" t="s">
        <v>1079</v>
      </c>
      <c r="F66" s="13" t="s">
        <v>1084</v>
      </c>
    </row>
    <row r="67" spans="4:6">
      <c r="D67" s="14"/>
      <c r="E67" s="9" t="s">
        <v>1264</v>
      </c>
      <c r="F67" s="13" t="s">
        <v>1084</v>
      </c>
    </row>
    <row r="68" spans="4:6">
      <c r="D68" s="14">
        <v>3</v>
      </c>
      <c r="E68" s="9" t="s">
        <v>903</v>
      </c>
      <c r="F68" s="13" t="s">
        <v>911</v>
      </c>
    </row>
    <row r="69" spans="4:6">
      <c r="D69" s="14"/>
      <c r="E69" s="9" t="s">
        <v>1136</v>
      </c>
      <c r="F69" s="13" t="s">
        <v>911</v>
      </c>
    </row>
    <row r="70" spans="4:6">
      <c r="D70" s="14"/>
      <c r="E70" s="9" t="s">
        <v>1290</v>
      </c>
      <c r="F70" s="13" t="s">
        <v>911</v>
      </c>
    </row>
    <row r="71" spans="4:6">
      <c r="E71" s="9" t="s">
        <v>1284</v>
      </c>
      <c r="F71" s="13" t="s">
        <v>1288</v>
      </c>
    </row>
    <row r="72" spans="4:6">
      <c r="D72" s="14">
        <v>5</v>
      </c>
      <c r="E72" s="9" t="s">
        <v>1124</v>
      </c>
      <c r="F72" s="13" t="s">
        <v>1128</v>
      </c>
    </row>
    <row r="73" spans="4:6">
      <c r="D73" s="14"/>
      <c r="E73" s="9" t="s">
        <v>1184</v>
      </c>
      <c r="F73" s="13" t="s">
        <v>1128</v>
      </c>
    </row>
    <row r="74" spans="4:6">
      <c r="D74" s="14"/>
      <c r="E74" s="9" t="s">
        <v>1243</v>
      </c>
      <c r="F74" s="13" t="s">
        <v>1128</v>
      </c>
    </row>
    <row r="75" spans="4:6">
      <c r="D75" s="14"/>
      <c r="E75" s="9" t="s">
        <v>1259</v>
      </c>
      <c r="F75" s="13" t="s">
        <v>1128</v>
      </c>
    </row>
    <row r="76" spans="4:6">
      <c r="D76" s="14"/>
      <c r="E76" s="9" t="s">
        <v>1363</v>
      </c>
      <c r="F76" s="13" t="s">
        <v>1128</v>
      </c>
    </row>
    <row r="77" spans="4:6">
      <c r="D77" s="14">
        <v>10</v>
      </c>
      <c r="E77" s="9" t="s">
        <v>971</v>
      </c>
      <c r="F77" s="13" t="s">
        <v>978</v>
      </c>
    </row>
    <row r="78" spans="4:6">
      <c r="D78" s="14"/>
      <c r="E78" s="9" t="s">
        <v>993</v>
      </c>
      <c r="F78" s="13" t="s">
        <v>978</v>
      </c>
    </row>
    <row r="79" spans="4:6">
      <c r="D79" s="14"/>
      <c r="E79" s="9" t="s">
        <v>1026</v>
      </c>
      <c r="F79" s="13" t="s">
        <v>978</v>
      </c>
    </row>
    <row r="80" spans="4:6">
      <c r="D80" s="14"/>
      <c r="E80" s="9" t="s">
        <v>1199</v>
      </c>
      <c r="F80" s="13" t="s">
        <v>978</v>
      </c>
    </row>
    <row r="81" spans="4:6">
      <c r="D81" s="14"/>
      <c r="E81" s="9" t="s">
        <v>1228</v>
      </c>
      <c r="F81" s="13" t="s">
        <v>978</v>
      </c>
    </row>
    <row r="82" spans="4:6">
      <c r="D82" s="14"/>
      <c r="E82" s="9" t="s">
        <v>1274</v>
      </c>
      <c r="F82" s="13" t="s">
        <v>978</v>
      </c>
    </row>
    <row r="83" spans="4:6">
      <c r="D83" s="14"/>
      <c r="E83" s="9" t="s">
        <v>1387</v>
      </c>
      <c r="F83" s="13" t="s">
        <v>978</v>
      </c>
    </row>
    <row r="84" spans="4:6">
      <c r="D84" s="14"/>
      <c r="E84" s="9" t="s">
        <v>1488</v>
      </c>
      <c r="F84" s="13" t="s">
        <v>978</v>
      </c>
    </row>
    <row r="85" spans="4:6">
      <c r="D85" s="14"/>
      <c r="E85" s="9" t="s">
        <v>1500</v>
      </c>
      <c r="F85" s="13" t="s">
        <v>978</v>
      </c>
    </row>
    <row r="86" spans="4:6">
      <c r="D86" s="14"/>
      <c r="E86" s="9" t="s">
        <v>1476</v>
      </c>
      <c r="F86" s="13" t="s">
        <v>1480</v>
      </c>
    </row>
    <row r="87" spans="4:6">
      <c r="D87" s="14">
        <v>8</v>
      </c>
      <c r="E87" s="9" t="s">
        <v>1006</v>
      </c>
      <c r="F87" s="13" t="s">
        <v>1011</v>
      </c>
    </row>
    <row r="88" spans="4:6">
      <c r="D88" s="14"/>
      <c r="E88" s="9" t="s">
        <v>1130</v>
      </c>
      <c r="F88" s="13" t="s">
        <v>1011</v>
      </c>
    </row>
    <row r="89" spans="4:6">
      <c r="D89" s="14"/>
      <c r="E89" s="9" t="s">
        <v>1203</v>
      </c>
      <c r="F89" s="13" t="s">
        <v>1011</v>
      </c>
    </row>
    <row r="90" spans="4:6">
      <c r="D90" s="14"/>
      <c r="E90" s="9" t="s">
        <v>1233</v>
      </c>
      <c r="F90" s="13" t="s">
        <v>1011</v>
      </c>
    </row>
    <row r="91" spans="4:6">
      <c r="D91" s="14"/>
      <c r="E91" s="9" t="s">
        <v>1358</v>
      </c>
      <c r="F91" s="13" t="s">
        <v>1011</v>
      </c>
    </row>
    <row r="92" spans="4:6">
      <c r="D92" s="14"/>
      <c r="E92" s="9" t="s">
        <v>1392</v>
      </c>
      <c r="F92" s="13" t="s">
        <v>1011</v>
      </c>
    </row>
    <row r="93" spans="4:6">
      <c r="D93" s="14"/>
      <c r="E93" s="9" t="s">
        <v>1396</v>
      </c>
      <c r="F93" s="13" t="s">
        <v>1011</v>
      </c>
    </row>
    <row r="94" spans="4:6">
      <c r="D94" s="14"/>
      <c r="E94" s="9" t="s">
        <v>1414</v>
      </c>
      <c r="F94" s="13" t="s">
        <v>1011</v>
      </c>
    </row>
    <row r="95" spans="4:6">
      <c r="D95" s="14">
        <v>5</v>
      </c>
      <c r="E95" s="9" t="s">
        <v>1038</v>
      </c>
      <c r="F95" s="13" t="s">
        <v>1042</v>
      </c>
    </row>
    <row r="96" spans="4:6">
      <c r="D96" s="14"/>
      <c r="E96" s="9" t="s">
        <v>1099</v>
      </c>
      <c r="F96" s="13" t="s">
        <v>1042</v>
      </c>
    </row>
    <row r="97" spans="4:6">
      <c r="D97" s="14"/>
      <c r="E97" s="9" t="s">
        <v>1188</v>
      </c>
      <c r="F97" s="13" t="s">
        <v>1042</v>
      </c>
    </row>
    <row r="98" spans="4:6">
      <c r="D98" s="14"/>
      <c r="E98" s="9" t="s">
        <v>1323</v>
      </c>
      <c r="F98" s="13" t="s">
        <v>1042</v>
      </c>
    </row>
    <row r="99" spans="4:6">
      <c r="D99" s="14"/>
      <c r="E99" s="9" t="s">
        <v>1347</v>
      </c>
      <c r="F99" s="13" t="s">
        <v>1042</v>
      </c>
    </row>
    <row r="100" spans="4:6">
      <c r="D100" s="14">
        <v>2</v>
      </c>
      <c r="E100" s="9" t="s">
        <v>1463</v>
      </c>
      <c r="F100" s="13" t="s">
        <v>1466</v>
      </c>
    </row>
    <row r="101" spans="4:6">
      <c r="D101" s="14"/>
      <c r="E101" s="9" t="s">
        <v>1520</v>
      </c>
      <c r="F101" s="13" t="s">
        <v>1466</v>
      </c>
    </row>
    <row r="102" spans="4:6">
      <c r="E102" s="9" t="s">
        <v>1439</v>
      </c>
      <c r="F102" s="13" t="s">
        <v>1443</v>
      </c>
    </row>
    <row r="103" spans="4:6">
      <c r="D103" s="14">
        <v>5</v>
      </c>
      <c r="E103" s="9" t="s">
        <v>1178</v>
      </c>
      <c r="F103" s="13" t="s">
        <v>1181</v>
      </c>
    </row>
    <row r="104" spans="4:6">
      <c r="D104" s="14"/>
      <c r="E104" s="9" t="s">
        <v>1209</v>
      </c>
      <c r="F104" s="13" t="s">
        <v>1181</v>
      </c>
    </row>
    <row r="105" spans="4:6">
      <c r="D105" s="14"/>
      <c r="E105" s="9" t="s">
        <v>1238</v>
      </c>
      <c r="F105" s="13" t="s">
        <v>1181</v>
      </c>
    </row>
    <row r="106" spans="4:6">
      <c r="D106" s="14"/>
      <c r="E106" s="9" t="s">
        <v>1278</v>
      </c>
      <c r="F106" s="13" t="s">
        <v>1181</v>
      </c>
    </row>
    <row r="107" spans="4:6">
      <c r="D107" s="14"/>
      <c r="E107" s="9" t="s">
        <v>1404</v>
      </c>
      <c r="F107" s="13" t="s">
        <v>1181</v>
      </c>
    </row>
    <row r="108" spans="4:6">
      <c r="D108" s="14">
        <v>4</v>
      </c>
      <c r="E108" s="9" t="s">
        <v>1044</v>
      </c>
      <c r="F108" s="16" t="s">
        <v>1050</v>
      </c>
    </row>
    <row r="109" spans="4:6">
      <c r="D109" s="14"/>
      <c r="E109" s="9" t="s">
        <v>1152</v>
      </c>
      <c r="F109" s="13" t="s">
        <v>1050</v>
      </c>
    </row>
    <row r="110" spans="4:6">
      <c r="D110" s="14"/>
      <c r="E110" s="9" t="s">
        <v>1308</v>
      </c>
      <c r="F110" s="13" t="s">
        <v>1050</v>
      </c>
    </row>
    <row r="111" spans="4:6">
      <c r="D111" s="14"/>
      <c r="E111" s="9" t="s">
        <v>1483</v>
      </c>
      <c r="F111" s="13" t="s">
        <v>1050</v>
      </c>
    </row>
  </sheetData>
  <sortState ref="E2:F110">
    <sortCondition ref="F2"/>
  </sortState>
  <mergeCells count="24">
    <mergeCell ref="C25:C31"/>
    <mergeCell ref="C36:C37"/>
    <mergeCell ref="D2:D5"/>
    <mergeCell ref="D6:D10"/>
    <mergeCell ref="D12:D13"/>
    <mergeCell ref="D14:D15"/>
    <mergeCell ref="D17:D19"/>
    <mergeCell ref="D20:D21"/>
    <mergeCell ref="D22:D23"/>
    <mergeCell ref="D29:D42"/>
    <mergeCell ref="D43:D45"/>
    <mergeCell ref="D47:D49"/>
    <mergeCell ref="D50:D52"/>
    <mergeCell ref="D53:D54"/>
    <mergeCell ref="D55:D65"/>
    <mergeCell ref="D66:D67"/>
    <mergeCell ref="D68:D70"/>
    <mergeCell ref="D72:D76"/>
    <mergeCell ref="D77:D86"/>
    <mergeCell ref="D87:D94"/>
    <mergeCell ref="D95:D99"/>
    <mergeCell ref="D100:D101"/>
    <mergeCell ref="D103:D107"/>
    <mergeCell ref="D108:D11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0"/>
  <sheetViews>
    <sheetView workbookViewId="0">
      <selection activeCell="E16" sqref="E16"/>
    </sheetView>
  </sheetViews>
  <sheetFormatPr defaultColWidth="8.72727272727273" defaultRowHeight="14"/>
  <cols>
    <col min="1" max="1" width="8.72727272727273" style="9"/>
    <col min="2" max="2" width="28.6363636363636" customWidth="1"/>
    <col min="3" max="3" width="60.5454545454545" style="9" customWidth="1"/>
    <col min="5" max="5" width="15.6363636363636" customWidth="1"/>
    <col min="6" max="6" width="15.8181818181818" customWidth="1"/>
    <col min="7" max="7" width="7.81818181818182" customWidth="1"/>
    <col min="8" max="8" width="11" customWidth="1"/>
    <col min="9" max="9" width="20.5454545454545" customWidth="1"/>
    <col min="10" max="10" width="15.3636363636364" customWidth="1"/>
    <col min="11" max="11" width="16.2727272727273" customWidth="1"/>
    <col min="12" max="12" width="15.1818181818182" customWidth="1"/>
    <col min="13" max="13" width="10.6363636363636" customWidth="1"/>
    <col min="14" max="14" width="12.9090909090909" customWidth="1"/>
    <col min="15" max="15" width="18.5454545454545" customWidth="1"/>
  </cols>
  <sheetData>
    <row r="1" spans="1:15">
      <c r="A1" s="10" t="s">
        <v>890</v>
      </c>
      <c r="B1" s="10" t="s">
        <v>897</v>
      </c>
      <c r="C1" s="10" t="s">
        <v>898</v>
      </c>
    </row>
    <row r="2" ht="28" spans="1:15">
      <c r="A2" s="9" t="s">
        <v>903</v>
      </c>
      <c r="B2" s="20" t="s">
        <v>1543</v>
      </c>
      <c r="C2" s="13" t="s">
        <v>910</v>
      </c>
      <c r="D2" s="13" t="s">
        <v>910</v>
      </c>
      <c r="F2" s="13" t="s">
        <v>1197</v>
      </c>
      <c r="G2" s="13">
        <v>29</v>
      </c>
      <c r="I2" s="13" t="s">
        <v>1556</v>
      </c>
      <c r="J2" s="13" t="s">
        <v>1557</v>
      </c>
      <c r="K2" s="13" t="s">
        <v>1558</v>
      </c>
      <c r="L2" s="13" t="s">
        <v>1559</v>
      </c>
      <c r="M2" s="13" t="s">
        <v>1560</v>
      </c>
      <c r="N2" s="13" t="s">
        <v>1561</v>
      </c>
      <c r="O2" s="13" t="s">
        <v>1562</v>
      </c>
    </row>
    <row r="3" ht="28" spans="1:15">
      <c r="A3" s="9" t="s">
        <v>914</v>
      </c>
      <c r="B3" s="20" t="s">
        <v>1543</v>
      </c>
      <c r="C3" s="13" t="s">
        <v>917</v>
      </c>
      <c r="D3" t="s">
        <v>1197</v>
      </c>
      <c r="F3" s="13" t="s">
        <v>910</v>
      </c>
      <c r="G3" s="13">
        <v>17</v>
      </c>
      <c r="I3" s="13" t="s">
        <v>1197</v>
      </c>
      <c r="J3" s="13">
        <v>3</v>
      </c>
      <c r="K3" s="13">
        <v>4</v>
      </c>
      <c r="L3" s="13">
        <v>3</v>
      </c>
      <c r="M3" s="13">
        <v>4</v>
      </c>
      <c r="N3" s="13">
        <v>4</v>
      </c>
      <c r="O3" s="13">
        <v>3</v>
      </c>
    </row>
    <row r="4" ht="28" spans="1:15">
      <c r="A4" s="9" t="s">
        <v>921</v>
      </c>
      <c r="B4" s="20" t="s">
        <v>1544</v>
      </c>
      <c r="C4" s="13" t="s">
        <v>927</v>
      </c>
      <c r="F4" s="13" t="s">
        <v>1563</v>
      </c>
      <c r="G4" s="13">
        <v>8</v>
      </c>
      <c r="I4" s="13" t="s">
        <v>910</v>
      </c>
      <c r="J4" s="13">
        <v>2</v>
      </c>
      <c r="K4" s="13">
        <v>4</v>
      </c>
      <c r="L4" s="13">
        <v>3</v>
      </c>
      <c r="M4" s="13">
        <v>4</v>
      </c>
      <c r="N4" s="13">
        <v>4</v>
      </c>
      <c r="O4" s="13">
        <v>2</v>
      </c>
    </row>
    <row r="5" ht="28" spans="1:15">
      <c r="A5" s="9" t="s">
        <v>931</v>
      </c>
      <c r="B5" s="20" t="s">
        <v>1545</v>
      </c>
      <c r="C5" s="13" t="s">
        <v>936</v>
      </c>
      <c r="D5" t="s">
        <v>1564</v>
      </c>
      <c r="F5" s="13" t="s">
        <v>1565</v>
      </c>
      <c r="G5" s="13">
        <v>6</v>
      </c>
      <c r="I5" s="13" t="s">
        <v>1563</v>
      </c>
      <c r="J5" s="13">
        <v>2</v>
      </c>
      <c r="K5" s="13">
        <v>3</v>
      </c>
      <c r="L5" s="13">
        <v>2</v>
      </c>
      <c r="M5" s="13">
        <v>2</v>
      </c>
      <c r="N5" s="13">
        <v>3</v>
      </c>
      <c r="O5" s="13">
        <v>3</v>
      </c>
    </row>
    <row r="6" ht="28" spans="1:15">
      <c r="A6" s="9" t="s">
        <v>940</v>
      </c>
      <c r="B6" s="20" t="s">
        <v>1545</v>
      </c>
      <c r="C6" s="13" t="s">
        <v>945</v>
      </c>
      <c r="F6" s="13" t="s">
        <v>1407</v>
      </c>
      <c r="G6" s="13">
        <v>6</v>
      </c>
      <c r="I6" s="13" t="s">
        <v>1565</v>
      </c>
      <c r="J6" s="13">
        <v>2</v>
      </c>
      <c r="K6" s="13">
        <v>4</v>
      </c>
      <c r="L6" s="13">
        <v>1</v>
      </c>
      <c r="M6" s="13">
        <v>1</v>
      </c>
      <c r="N6" s="13">
        <v>3</v>
      </c>
      <c r="O6" s="13">
        <v>2</v>
      </c>
    </row>
    <row r="7" ht="28" spans="1:15">
      <c r="A7" s="9" t="s">
        <v>948</v>
      </c>
      <c r="B7" s="20" t="s">
        <v>1545</v>
      </c>
      <c r="C7" s="13" t="s">
        <v>952</v>
      </c>
      <c r="F7" s="13" t="s">
        <v>1566</v>
      </c>
      <c r="G7" s="13">
        <v>5</v>
      </c>
      <c r="I7" s="13" t="s">
        <v>1407</v>
      </c>
      <c r="J7" s="13">
        <v>2</v>
      </c>
      <c r="K7" s="13">
        <v>4</v>
      </c>
      <c r="L7" s="13">
        <v>2</v>
      </c>
      <c r="M7" s="13">
        <v>2</v>
      </c>
      <c r="N7" s="13">
        <v>2</v>
      </c>
      <c r="O7" s="13">
        <v>2</v>
      </c>
    </row>
    <row r="8" ht="28" spans="1:15">
      <c r="A8" s="9" t="s">
        <v>955</v>
      </c>
      <c r="B8" s="20" t="s">
        <v>1543</v>
      </c>
      <c r="C8" s="13"/>
      <c r="F8" s="13" t="s">
        <v>1567</v>
      </c>
      <c r="G8" s="13">
        <v>3</v>
      </c>
      <c r="I8" s="13" t="s">
        <v>1566</v>
      </c>
      <c r="J8" s="13">
        <v>2</v>
      </c>
      <c r="K8" s="13">
        <v>3</v>
      </c>
      <c r="L8" s="13">
        <v>2</v>
      </c>
      <c r="M8" s="13">
        <v>2</v>
      </c>
      <c r="N8" s="13">
        <v>3</v>
      </c>
      <c r="O8" s="13">
        <v>3</v>
      </c>
    </row>
    <row r="9" ht="28" spans="1:15">
      <c r="A9" s="9" t="s">
        <v>962</v>
      </c>
      <c r="B9" s="20" t="s">
        <v>1544</v>
      </c>
      <c r="C9" s="13" t="s">
        <v>967</v>
      </c>
      <c r="F9" s="13" t="s">
        <v>1568</v>
      </c>
      <c r="G9" s="13">
        <v>3</v>
      </c>
      <c r="I9" s="13" t="s">
        <v>1567</v>
      </c>
      <c r="J9" s="13">
        <v>2</v>
      </c>
      <c r="K9" s="13">
        <v>3</v>
      </c>
      <c r="L9" s="13">
        <v>1</v>
      </c>
      <c r="M9" s="13">
        <v>2</v>
      </c>
      <c r="N9" s="13">
        <v>3</v>
      </c>
      <c r="O9" s="13">
        <v>3</v>
      </c>
    </row>
    <row r="10" spans="1:15">
      <c r="A10" s="9" t="s">
        <v>971</v>
      </c>
      <c r="B10" s="13" t="s">
        <v>976</v>
      </c>
      <c r="C10" s="13" t="s">
        <v>977</v>
      </c>
      <c r="F10" s="13" t="s">
        <v>1569</v>
      </c>
      <c r="G10" s="13">
        <v>2</v>
      </c>
      <c r="I10" s="13" t="s">
        <v>1568</v>
      </c>
      <c r="J10" s="13">
        <v>3</v>
      </c>
      <c r="K10" s="13">
        <v>4</v>
      </c>
      <c r="L10" s="13">
        <v>4</v>
      </c>
      <c r="M10" s="13">
        <v>4</v>
      </c>
      <c r="N10" s="13">
        <v>3</v>
      </c>
      <c r="O10" s="13">
        <v>3</v>
      </c>
    </row>
    <row r="11" ht="28" spans="1:15">
      <c r="A11" s="9" t="s">
        <v>980</v>
      </c>
      <c r="B11" s="20" t="s">
        <v>1544</v>
      </c>
      <c r="C11" s="13" t="s">
        <v>982</v>
      </c>
      <c r="F11" s="13" t="s">
        <v>1570</v>
      </c>
      <c r="G11" s="13">
        <v>2</v>
      </c>
      <c r="I11" s="13" t="s">
        <v>1569</v>
      </c>
      <c r="J11" s="13">
        <v>2</v>
      </c>
      <c r="K11" s="13">
        <v>3</v>
      </c>
      <c r="L11" s="13">
        <v>2</v>
      </c>
      <c r="M11" s="13">
        <v>1</v>
      </c>
      <c r="N11" s="13">
        <v>2</v>
      </c>
      <c r="O11" s="13">
        <v>2</v>
      </c>
    </row>
    <row r="12" ht="28" spans="1:15">
      <c r="A12" s="9" t="s">
        <v>985</v>
      </c>
      <c r="B12" s="20" t="s">
        <v>1545</v>
      </c>
      <c r="C12" s="13" t="s">
        <v>990</v>
      </c>
      <c r="F12" s="13" t="s">
        <v>1571</v>
      </c>
      <c r="G12" s="13">
        <v>2</v>
      </c>
      <c r="I12" s="13" t="s">
        <v>1570</v>
      </c>
      <c r="J12" s="13">
        <v>2</v>
      </c>
      <c r="K12" s="13">
        <v>3</v>
      </c>
      <c r="L12" s="13">
        <v>1</v>
      </c>
      <c r="M12" s="13">
        <v>1</v>
      </c>
      <c r="N12" s="13">
        <v>3</v>
      </c>
      <c r="O12" s="13">
        <v>2</v>
      </c>
    </row>
    <row r="13" spans="1:15">
      <c r="A13" s="9" t="s">
        <v>993</v>
      </c>
      <c r="B13" s="13" t="s">
        <v>976</v>
      </c>
      <c r="C13" s="13" t="s">
        <v>995</v>
      </c>
      <c r="F13" s="13" t="s">
        <v>1572</v>
      </c>
      <c r="G13" s="13">
        <v>2</v>
      </c>
      <c r="I13" s="13" t="s">
        <v>1571</v>
      </c>
      <c r="J13" s="13">
        <v>4</v>
      </c>
      <c r="K13" s="13">
        <v>2</v>
      </c>
      <c r="L13" s="13">
        <v>1</v>
      </c>
      <c r="M13" s="13">
        <v>1</v>
      </c>
      <c r="N13" s="13">
        <v>2</v>
      </c>
      <c r="O13" s="13">
        <v>4</v>
      </c>
    </row>
    <row r="14" spans="1:15">
      <c r="A14" s="9" t="s">
        <v>998</v>
      </c>
      <c r="B14" s="13" t="s">
        <v>1002</v>
      </c>
      <c r="C14" s="13" t="s">
        <v>1003</v>
      </c>
      <c r="F14" s="13" t="s">
        <v>1160</v>
      </c>
      <c r="G14" s="13">
        <v>2</v>
      </c>
      <c r="I14" s="13" t="s">
        <v>1572</v>
      </c>
      <c r="J14" s="13">
        <v>2</v>
      </c>
      <c r="K14" s="13">
        <v>3</v>
      </c>
      <c r="L14" s="13">
        <v>2</v>
      </c>
      <c r="M14" s="13">
        <v>1</v>
      </c>
      <c r="N14" s="13">
        <v>3</v>
      </c>
      <c r="O14" s="13">
        <v>2</v>
      </c>
    </row>
    <row r="15" ht="28" spans="1:15">
      <c r="A15" s="9" t="s">
        <v>1006</v>
      </c>
      <c r="B15" s="20" t="s">
        <v>1544</v>
      </c>
      <c r="C15" s="13" t="s">
        <v>1010</v>
      </c>
      <c r="I15" s="13" t="s">
        <v>1160</v>
      </c>
      <c r="J15" s="13">
        <v>1</v>
      </c>
      <c r="K15" s="13">
        <v>3</v>
      </c>
      <c r="L15" s="13">
        <v>1</v>
      </c>
      <c r="M15" s="13">
        <v>1</v>
      </c>
      <c r="N15" s="13">
        <v>2</v>
      </c>
      <c r="O15" s="13">
        <v>1</v>
      </c>
    </row>
    <row r="16" ht="28" spans="1:15">
      <c r="A16" s="9" t="s">
        <v>1014</v>
      </c>
      <c r="B16" s="20" t="s">
        <v>1544</v>
      </c>
      <c r="C16" s="13" t="s">
        <v>1018</v>
      </c>
      <c r="F16" s="9"/>
      <c r="G16" s="9"/>
    </row>
    <row r="17" ht="28" spans="1:7">
      <c r="A17" s="9" t="s">
        <v>1021</v>
      </c>
      <c r="B17" s="20" t="s">
        <v>1544</v>
      </c>
      <c r="C17" s="13" t="s">
        <v>1024</v>
      </c>
      <c r="F17" s="9"/>
      <c r="G17" s="9"/>
    </row>
    <row r="18" spans="1:7">
      <c r="A18" s="9" t="s">
        <v>1026</v>
      </c>
      <c r="B18" s="13" t="s">
        <v>976</v>
      </c>
      <c r="C18" s="13" t="s">
        <v>910</v>
      </c>
      <c r="F18" s="9"/>
      <c r="G18" s="9"/>
    </row>
    <row r="19" ht="28" spans="1:7">
      <c r="A19" s="9" t="s">
        <v>1031</v>
      </c>
      <c r="B19" s="20" t="s">
        <v>1544</v>
      </c>
      <c r="C19" s="13" t="s">
        <v>1035</v>
      </c>
      <c r="F19" s="9"/>
      <c r="G19" s="9"/>
    </row>
    <row r="20" ht="28" spans="1:7">
      <c r="A20" s="9" t="s">
        <v>1038</v>
      </c>
      <c r="B20" s="20" t="s">
        <v>1543</v>
      </c>
      <c r="C20" s="13" t="s">
        <v>1041</v>
      </c>
      <c r="F20" s="9"/>
      <c r="G20" s="9"/>
    </row>
    <row r="21" ht="28" spans="1:7">
      <c r="A21" s="9" t="s">
        <v>1044</v>
      </c>
      <c r="B21" s="21" t="s">
        <v>1546</v>
      </c>
      <c r="C21" s="16" t="s">
        <v>1049</v>
      </c>
      <c r="F21" s="9"/>
      <c r="G21" s="9"/>
    </row>
    <row r="22" spans="1:7">
      <c r="A22" s="9" t="s">
        <v>1052</v>
      </c>
      <c r="B22" s="13" t="s">
        <v>1002</v>
      </c>
      <c r="C22" s="13"/>
      <c r="F22" s="9"/>
      <c r="G22" s="9"/>
    </row>
    <row r="23" ht="28" spans="1:7">
      <c r="A23" s="9" t="s">
        <v>1056</v>
      </c>
      <c r="B23" s="20" t="s">
        <v>1545</v>
      </c>
      <c r="C23" s="13" t="s">
        <v>1058</v>
      </c>
      <c r="F23" s="9"/>
      <c r="G23" s="9"/>
    </row>
    <row r="24" ht="28" spans="1:7">
      <c r="A24" s="9" t="s">
        <v>1062</v>
      </c>
      <c r="B24" s="20" t="s">
        <v>1544</v>
      </c>
      <c r="C24" s="13" t="s">
        <v>1064</v>
      </c>
    </row>
    <row r="25" ht="42" spans="1:7">
      <c r="A25" s="9" t="s">
        <v>1067</v>
      </c>
      <c r="B25" s="20" t="s">
        <v>1547</v>
      </c>
      <c r="C25" s="13" t="s">
        <v>1071</v>
      </c>
    </row>
    <row r="26" ht="28" spans="1:7">
      <c r="A26" s="9" t="s">
        <v>1073</v>
      </c>
      <c r="B26" s="20" t="s">
        <v>1544</v>
      </c>
      <c r="C26" s="13" t="s">
        <v>1076</v>
      </c>
    </row>
    <row r="27" ht="28" spans="1:7">
      <c r="A27" s="9" t="s">
        <v>1079</v>
      </c>
      <c r="B27" s="20" t="s">
        <v>1548</v>
      </c>
      <c r="C27" s="13" t="s">
        <v>1083</v>
      </c>
    </row>
    <row r="28" ht="28" spans="1:7">
      <c r="A28" s="9" t="s">
        <v>1086</v>
      </c>
      <c r="B28" s="20" t="s">
        <v>1544</v>
      </c>
      <c r="C28" s="13" t="s">
        <v>1089</v>
      </c>
    </row>
    <row r="29" ht="28" spans="1:7">
      <c r="A29" s="9" t="s">
        <v>1090</v>
      </c>
      <c r="B29" s="20" t="s">
        <v>1544</v>
      </c>
      <c r="C29" s="13" t="s">
        <v>1093</v>
      </c>
    </row>
    <row r="30" ht="28" spans="1:7">
      <c r="A30" s="9" t="s">
        <v>1095</v>
      </c>
      <c r="B30" s="20" t="s">
        <v>1544</v>
      </c>
      <c r="C30" s="13" t="s">
        <v>1097</v>
      </c>
    </row>
    <row r="31" ht="28" spans="1:7">
      <c r="A31" s="9" t="s">
        <v>1099</v>
      </c>
      <c r="B31" s="20" t="s">
        <v>1543</v>
      </c>
      <c r="C31" s="13" t="s">
        <v>1104</v>
      </c>
    </row>
    <row r="32" ht="28" spans="1:7">
      <c r="A32" s="9" t="s">
        <v>1106</v>
      </c>
      <c r="B32" s="20" t="s">
        <v>1544</v>
      </c>
      <c r="C32" s="13" t="s">
        <v>1109</v>
      </c>
    </row>
    <row r="33" spans="1:3">
      <c r="A33" s="9" t="s">
        <v>1112</v>
      </c>
      <c r="B33" s="13" t="s">
        <v>1002</v>
      </c>
      <c r="C33" s="13" t="s">
        <v>1114</v>
      </c>
    </row>
    <row r="34" ht="28" spans="1:3">
      <c r="A34" s="9" t="s">
        <v>1118</v>
      </c>
      <c r="B34" s="20" t="s">
        <v>1545</v>
      </c>
      <c r="C34" s="13" t="s">
        <v>1121</v>
      </c>
    </row>
    <row r="35" ht="28" spans="1:3">
      <c r="A35" s="9" t="s">
        <v>1124</v>
      </c>
      <c r="B35" s="20" t="s">
        <v>1543</v>
      </c>
      <c r="C35" s="13" t="s">
        <v>910</v>
      </c>
    </row>
    <row r="36" ht="28" spans="1:3">
      <c r="A36" s="9" t="s">
        <v>1130</v>
      </c>
      <c r="B36" s="20" t="s">
        <v>1544</v>
      </c>
      <c r="C36" s="13" t="s">
        <v>1134</v>
      </c>
    </row>
    <row r="37" ht="28" spans="1:3">
      <c r="A37" s="9" t="s">
        <v>1136</v>
      </c>
      <c r="B37" s="20" t="s">
        <v>1544</v>
      </c>
      <c r="C37" s="13" t="s">
        <v>1139</v>
      </c>
    </row>
    <row r="38" spans="1:3">
      <c r="A38" s="9" t="s">
        <v>1142</v>
      </c>
      <c r="B38" s="13" t="s">
        <v>1002</v>
      </c>
      <c r="C38" s="13" t="s">
        <v>1145</v>
      </c>
    </row>
    <row r="39" spans="1:3">
      <c r="A39" s="9" t="s">
        <v>1147</v>
      </c>
      <c r="B39" s="13" t="s">
        <v>1002</v>
      </c>
      <c r="C39" s="13" t="s">
        <v>1150</v>
      </c>
    </row>
    <row r="40" ht="42" spans="1:3">
      <c r="A40" s="9" t="s">
        <v>1152</v>
      </c>
      <c r="B40" s="20" t="s">
        <v>1547</v>
      </c>
      <c r="C40" s="13" t="s">
        <v>1155</v>
      </c>
    </row>
    <row r="41" ht="28" spans="1:3">
      <c r="A41" s="9" t="s">
        <v>1157</v>
      </c>
      <c r="B41" s="20" t="s">
        <v>1544</v>
      </c>
      <c r="C41" s="13" t="s">
        <v>1160</v>
      </c>
    </row>
    <row r="42" ht="28" spans="1:3">
      <c r="A42" s="9" t="s">
        <v>1163</v>
      </c>
      <c r="B42" s="20" t="s">
        <v>1544</v>
      </c>
      <c r="C42" s="13" t="s">
        <v>982</v>
      </c>
    </row>
    <row r="43" ht="28" spans="1:3">
      <c r="A43" s="9" t="s">
        <v>1169</v>
      </c>
      <c r="B43" s="20" t="s">
        <v>1544</v>
      </c>
      <c r="C43" s="13"/>
    </row>
    <row r="44" ht="28" spans="1:3">
      <c r="A44" s="9" t="s">
        <v>1173</v>
      </c>
      <c r="B44" s="20" t="s">
        <v>1544</v>
      </c>
      <c r="C44" s="13" t="s">
        <v>910</v>
      </c>
    </row>
    <row r="45" ht="28" spans="1:3">
      <c r="A45" s="9" t="s">
        <v>1178</v>
      </c>
      <c r="B45" s="20" t="s">
        <v>1544</v>
      </c>
      <c r="C45" s="13" t="s">
        <v>1180</v>
      </c>
    </row>
    <row r="46" ht="28" spans="1:3">
      <c r="A46" s="9" t="s">
        <v>1184</v>
      </c>
      <c r="B46" s="20" t="s">
        <v>1543</v>
      </c>
      <c r="C46" s="13" t="s">
        <v>1186</v>
      </c>
    </row>
    <row r="47" ht="28" spans="1:3">
      <c r="A47" s="9" t="s">
        <v>1188</v>
      </c>
      <c r="B47" s="20" t="s">
        <v>1543</v>
      </c>
      <c r="C47" s="13" t="s">
        <v>1192</v>
      </c>
    </row>
    <row r="48" ht="28" spans="1:3">
      <c r="A48" s="9" t="s">
        <v>1194</v>
      </c>
      <c r="B48" s="20" t="s">
        <v>1544</v>
      </c>
      <c r="C48" s="13" t="s">
        <v>1197</v>
      </c>
    </row>
    <row r="49" spans="1:3">
      <c r="A49" s="9" t="s">
        <v>1199</v>
      </c>
      <c r="B49" s="13" t="s">
        <v>976</v>
      </c>
      <c r="C49" s="13" t="s">
        <v>1201</v>
      </c>
    </row>
    <row r="50" ht="28" spans="1:3">
      <c r="A50" s="9" t="s">
        <v>1203</v>
      </c>
      <c r="B50" s="20" t="s">
        <v>1544</v>
      </c>
      <c r="C50" s="13" t="s">
        <v>1206</v>
      </c>
    </row>
    <row r="51" ht="28" spans="1:3">
      <c r="A51" s="9" t="s">
        <v>1209</v>
      </c>
      <c r="B51" s="20" t="s">
        <v>1544</v>
      </c>
      <c r="C51" s="13"/>
    </row>
    <row r="52" ht="28" spans="1:3">
      <c r="A52" s="9" t="s">
        <v>1214</v>
      </c>
      <c r="B52" s="20" t="s">
        <v>1544</v>
      </c>
      <c r="C52" s="13" t="s">
        <v>1217</v>
      </c>
    </row>
    <row r="53" ht="28" spans="1:3">
      <c r="A53" s="9" t="s">
        <v>1220</v>
      </c>
      <c r="B53" s="20" t="s">
        <v>1544</v>
      </c>
      <c r="C53" s="13" t="s">
        <v>1224</v>
      </c>
    </row>
    <row r="54" spans="1:3">
      <c r="A54" s="9" t="s">
        <v>1228</v>
      </c>
      <c r="B54" s="13" t="s">
        <v>976</v>
      </c>
      <c r="C54" s="13" t="s">
        <v>1231</v>
      </c>
    </row>
    <row r="55" ht="28" spans="1:3">
      <c r="A55" s="9" t="s">
        <v>1233</v>
      </c>
      <c r="B55" s="20" t="s">
        <v>1544</v>
      </c>
      <c r="C55" s="13" t="s">
        <v>1236</v>
      </c>
    </row>
    <row r="56" ht="28" spans="1:3">
      <c r="A56" s="9" t="s">
        <v>1238</v>
      </c>
      <c r="B56" s="20" t="s">
        <v>1544</v>
      </c>
      <c r="C56" s="13" t="s">
        <v>1241</v>
      </c>
    </row>
    <row r="57" ht="28" spans="1:3">
      <c r="A57" s="9" t="s">
        <v>1243</v>
      </c>
      <c r="B57" s="20" t="s">
        <v>1543</v>
      </c>
      <c r="C57" s="13"/>
    </row>
    <row r="58" ht="28" spans="1:3">
      <c r="A58" s="9" t="s">
        <v>1248</v>
      </c>
      <c r="B58" s="20" t="s">
        <v>1544</v>
      </c>
      <c r="C58" s="13" t="s">
        <v>1251</v>
      </c>
    </row>
    <row r="59" spans="1:3">
      <c r="A59" s="9" t="s">
        <v>1254</v>
      </c>
      <c r="B59" s="13" t="s">
        <v>1002</v>
      </c>
      <c r="C59" s="13"/>
    </row>
    <row r="60" ht="28" spans="1:3">
      <c r="A60" s="9" t="s">
        <v>1259</v>
      </c>
      <c r="B60" s="20" t="s">
        <v>1543</v>
      </c>
      <c r="C60" s="13" t="s">
        <v>1197</v>
      </c>
    </row>
    <row r="61" ht="28" spans="1:3">
      <c r="A61" s="9" t="s">
        <v>1264</v>
      </c>
      <c r="B61" s="20" t="s">
        <v>1548</v>
      </c>
      <c r="C61" s="13" t="s">
        <v>1267</v>
      </c>
    </row>
    <row r="62" ht="28" spans="1:3">
      <c r="A62" s="9" t="s">
        <v>1269</v>
      </c>
      <c r="B62" s="20" t="s">
        <v>1544</v>
      </c>
      <c r="C62" s="13" t="s">
        <v>1272</v>
      </c>
    </row>
    <row r="63" spans="1:3">
      <c r="A63" s="9" t="s">
        <v>1274</v>
      </c>
      <c r="B63" s="13" t="s">
        <v>976</v>
      </c>
      <c r="C63" s="13" t="s">
        <v>977</v>
      </c>
    </row>
    <row r="64" ht="28" spans="1:3">
      <c r="A64" s="9" t="s">
        <v>1278</v>
      </c>
      <c r="B64" s="20" t="s">
        <v>1545</v>
      </c>
      <c r="C64" s="13" t="s">
        <v>1281</v>
      </c>
    </row>
    <row r="65" ht="28" spans="1:3">
      <c r="A65" s="9" t="s">
        <v>1284</v>
      </c>
      <c r="B65" s="20" t="s">
        <v>1544</v>
      </c>
      <c r="C65" s="13" t="s">
        <v>1287</v>
      </c>
    </row>
    <row r="66" ht="28" spans="1:3">
      <c r="A66" s="9" t="s">
        <v>1290</v>
      </c>
      <c r="B66" s="20" t="s">
        <v>1548</v>
      </c>
      <c r="C66" s="13" t="s">
        <v>1197</v>
      </c>
    </row>
    <row r="67" ht="28" spans="1:3">
      <c r="A67" s="9" t="s">
        <v>1294</v>
      </c>
      <c r="B67" s="20" t="s">
        <v>1544</v>
      </c>
      <c r="C67" s="13"/>
    </row>
    <row r="68" ht="28" spans="1:3">
      <c r="A68" s="9" t="s">
        <v>1298</v>
      </c>
      <c r="B68" s="20" t="s">
        <v>1544</v>
      </c>
      <c r="C68" s="13" t="s">
        <v>1301</v>
      </c>
    </row>
    <row r="69" ht="28" spans="1:3">
      <c r="A69" s="9" t="s">
        <v>1303</v>
      </c>
      <c r="B69" s="20" t="s">
        <v>1544</v>
      </c>
      <c r="C69" s="13" t="s">
        <v>1251</v>
      </c>
    </row>
    <row r="70" ht="28" spans="1:3">
      <c r="A70" s="9" t="s">
        <v>1308</v>
      </c>
      <c r="B70" s="21" t="s">
        <v>1546</v>
      </c>
      <c r="C70" s="13" t="s">
        <v>1312</v>
      </c>
    </row>
    <row r="71" ht="28" spans="1:3">
      <c r="A71" s="9" t="s">
        <v>1314</v>
      </c>
      <c r="B71" s="20" t="s">
        <v>1544</v>
      </c>
      <c r="C71" s="13" t="s">
        <v>1317</v>
      </c>
    </row>
    <row r="72" ht="28" spans="1:3">
      <c r="A72" s="9" t="s">
        <v>1319</v>
      </c>
      <c r="B72" s="20" t="s">
        <v>1544</v>
      </c>
      <c r="C72" s="13" t="s">
        <v>1321</v>
      </c>
    </row>
    <row r="73" ht="28" spans="1:3">
      <c r="A73" s="9" t="s">
        <v>1323</v>
      </c>
      <c r="B73" s="20" t="s">
        <v>1543</v>
      </c>
      <c r="C73" s="13" t="s">
        <v>1197</v>
      </c>
    </row>
    <row r="74" spans="1:3">
      <c r="A74" s="9" t="s">
        <v>1329</v>
      </c>
      <c r="B74" s="13" t="s">
        <v>1002</v>
      </c>
      <c r="C74" s="13" t="s">
        <v>910</v>
      </c>
    </row>
    <row r="75" ht="28" spans="1:3">
      <c r="A75" s="9" t="s">
        <v>1335</v>
      </c>
      <c r="B75" s="20" t="s">
        <v>1544</v>
      </c>
      <c r="C75" s="13" t="s">
        <v>1338</v>
      </c>
    </row>
    <row r="76" ht="28" spans="1:3">
      <c r="A76" s="9" t="s">
        <v>1340</v>
      </c>
      <c r="B76" s="20" t="s">
        <v>1543</v>
      </c>
      <c r="C76" s="13" t="s">
        <v>910</v>
      </c>
    </row>
    <row r="77" ht="28" spans="1:3">
      <c r="A77" s="9" t="s">
        <v>1347</v>
      </c>
      <c r="B77" s="20" t="s">
        <v>1543</v>
      </c>
      <c r="C77" s="13" t="s">
        <v>1350</v>
      </c>
    </row>
    <row r="78" ht="28" spans="1:3">
      <c r="A78" s="9" t="s">
        <v>1352</v>
      </c>
      <c r="B78" s="20" t="s">
        <v>1544</v>
      </c>
      <c r="C78" s="13" t="s">
        <v>1356</v>
      </c>
    </row>
    <row r="79" ht="28" spans="1:3">
      <c r="A79" s="9" t="s">
        <v>1358</v>
      </c>
      <c r="B79" s="20" t="s">
        <v>1548</v>
      </c>
      <c r="C79" s="13" t="s">
        <v>1361</v>
      </c>
    </row>
    <row r="80" ht="28" spans="1:3">
      <c r="A80" s="9" t="s">
        <v>1363</v>
      </c>
      <c r="B80" s="20" t="s">
        <v>1543</v>
      </c>
      <c r="C80" s="13" t="s">
        <v>1366</v>
      </c>
    </row>
    <row r="81" ht="28" spans="1:3">
      <c r="A81" s="9" t="s">
        <v>1368</v>
      </c>
      <c r="B81" s="20" t="s">
        <v>1544</v>
      </c>
      <c r="C81" s="13" t="s">
        <v>1371</v>
      </c>
    </row>
    <row r="82" ht="28" spans="1:3">
      <c r="A82" s="9" t="s">
        <v>1374</v>
      </c>
      <c r="B82" s="20" t="s">
        <v>1548</v>
      </c>
      <c r="C82" s="13" t="s">
        <v>1378</v>
      </c>
    </row>
    <row r="83" ht="28" spans="1:3">
      <c r="A83" s="9" t="s">
        <v>1380</v>
      </c>
      <c r="B83" s="20" t="s">
        <v>1544</v>
      </c>
      <c r="C83" s="13" t="s">
        <v>1384</v>
      </c>
    </row>
    <row r="84" spans="1:3">
      <c r="A84" s="9" t="s">
        <v>1387</v>
      </c>
      <c r="B84" s="13" t="s">
        <v>976</v>
      </c>
      <c r="C84" s="13" t="s">
        <v>1390</v>
      </c>
    </row>
    <row r="85" ht="28" spans="1:3">
      <c r="A85" s="9" t="s">
        <v>1392</v>
      </c>
      <c r="B85" s="20" t="s">
        <v>1544</v>
      </c>
      <c r="C85" s="13" t="s">
        <v>910</v>
      </c>
    </row>
    <row r="86" ht="28" spans="1:3">
      <c r="A86" s="9" t="s">
        <v>1396</v>
      </c>
      <c r="B86" s="20" t="s">
        <v>1544</v>
      </c>
      <c r="C86" s="13" t="s">
        <v>1398</v>
      </c>
    </row>
    <row r="87" spans="1:3">
      <c r="A87" s="9" t="s">
        <v>1400</v>
      </c>
      <c r="B87" s="13" t="s">
        <v>1002</v>
      </c>
      <c r="C87" s="13" t="s">
        <v>1197</v>
      </c>
    </row>
    <row r="88" ht="28" spans="1:3">
      <c r="A88" s="9" t="s">
        <v>1404</v>
      </c>
      <c r="B88" s="20" t="s">
        <v>1545</v>
      </c>
      <c r="C88" s="13" t="s">
        <v>1407</v>
      </c>
    </row>
    <row r="89" ht="28" spans="1:3">
      <c r="A89" s="9" t="s">
        <v>1409</v>
      </c>
      <c r="B89" s="20" t="s">
        <v>1548</v>
      </c>
      <c r="C89" s="13" t="s">
        <v>1412</v>
      </c>
    </row>
    <row r="90" ht="28" spans="1:3">
      <c r="A90" s="9" t="s">
        <v>1414</v>
      </c>
      <c r="B90" s="20" t="s">
        <v>1545</v>
      </c>
      <c r="C90" s="13" t="s">
        <v>1417</v>
      </c>
    </row>
    <row r="91" ht="28" spans="1:3">
      <c r="A91" s="9" t="s">
        <v>1420</v>
      </c>
      <c r="B91" s="20" t="s">
        <v>1544</v>
      </c>
      <c r="C91" s="13" t="s">
        <v>1422</v>
      </c>
    </row>
    <row r="92" ht="28" spans="1:3">
      <c r="A92" s="9" t="s">
        <v>1425</v>
      </c>
      <c r="B92" s="20" t="s">
        <v>1544</v>
      </c>
      <c r="C92" s="13" t="s">
        <v>1429</v>
      </c>
    </row>
    <row r="93" ht="28" spans="1:3">
      <c r="A93" s="9" t="s">
        <v>1432</v>
      </c>
      <c r="B93" s="20" t="s">
        <v>1544</v>
      </c>
      <c r="C93" s="13" t="s">
        <v>1436</v>
      </c>
    </row>
    <row r="94" spans="1:3">
      <c r="A94" s="9" t="s">
        <v>1439</v>
      </c>
      <c r="B94" s="13" t="s">
        <v>976</v>
      </c>
      <c r="C94" s="13" t="s">
        <v>1442</v>
      </c>
    </row>
    <row r="95" spans="1:3">
      <c r="A95" s="9" t="s">
        <v>1445</v>
      </c>
      <c r="B95" s="13" t="s">
        <v>1002</v>
      </c>
      <c r="C95" s="13" t="s">
        <v>1350</v>
      </c>
    </row>
    <row r="96" ht="28" spans="1:3">
      <c r="A96" s="9" t="s">
        <v>1448</v>
      </c>
      <c r="B96" s="20" t="s">
        <v>1548</v>
      </c>
      <c r="C96" s="13" t="s">
        <v>1451</v>
      </c>
    </row>
    <row r="97" ht="42" spans="1:3">
      <c r="A97" s="9" t="s">
        <v>1453</v>
      </c>
      <c r="B97" s="20" t="s">
        <v>1547</v>
      </c>
      <c r="C97" s="13" t="s">
        <v>977</v>
      </c>
    </row>
    <row r="98" ht="28" spans="1:3">
      <c r="A98" s="9" t="s">
        <v>1458</v>
      </c>
      <c r="B98" s="20" t="s">
        <v>1544</v>
      </c>
      <c r="C98" s="13" t="s">
        <v>1460</v>
      </c>
    </row>
    <row r="99" spans="1:3">
      <c r="A99" s="9" t="s">
        <v>1463</v>
      </c>
      <c r="B99" s="13" t="s">
        <v>976</v>
      </c>
      <c r="C99" s="13" t="s">
        <v>1465</v>
      </c>
    </row>
    <row r="100" spans="1:3">
      <c r="A100" s="9" t="s">
        <v>1468</v>
      </c>
      <c r="B100" s="13" t="s">
        <v>1002</v>
      </c>
      <c r="C100" s="13"/>
    </row>
    <row r="101" ht="28" spans="1:3">
      <c r="A101" s="9" t="s">
        <v>1472</v>
      </c>
      <c r="B101" s="20" t="s">
        <v>1544</v>
      </c>
      <c r="C101" s="9" t="s">
        <v>1197</v>
      </c>
    </row>
    <row r="102" spans="1:3">
      <c r="A102" s="9" t="s">
        <v>1476</v>
      </c>
      <c r="B102" s="13" t="s">
        <v>976</v>
      </c>
      <c r="C102" s="13" t="s">
        <v>1479</v>
      </c>
    </row>
    <row r="103" ht="28" spans="1:3">
      <c r="A103" s="9" t="s">
        <v>1483</v>
      </c>
      <c r="B103" s="21" t="s">
        <v>1546</v>
      </c>
      <c r="C103" s="13"/>
    </row>
    <row r="104" spans="1:3">
      <c r="A104" s="9" t="s">
        <v>1488</v>
      </c>
      <c r="B104" s="13" t="s">
        <v>976</v>
      </c>
      <c r="C104" s="13"/>
    </row>
    <row r="105" ht="28" spans="1:3">
      <c r="A105" s="9" t="s">
        <v>1493</v>
      </c>
      <c r="B105" s="20" t="s">
        <v>1544</v>
      </c>
      <c r="C105" s="13" t="s">
        <v>1496</v>
      </c>
    </row>
    <row r="106" ht="28" spans="1:3">
      <c r="A106" s="9" t="s">
        <v>1500</v>
      </c>
      <c r="B106" s="20" t="s">
        <v>1544</v>
      </c>
      <c r="C106" s="13" t="s">
        <v>1502</v>
      </c>
    </row>
    <row r="107" ht="28" spans="1:3">
      <c r="A107" s="9" t="s">
        <v>1505</v>
      </c>
      <c r="B107" s="20" t="s">
        <v>1544</v>
      </c>
      <c r="C107" s="13" t="s">
        <v>1508</v>
      </c>
    </row>
    <row r="108" ht="28" spans="1:3">
      <c r="A108" s="9" t="s">
        <v>1510</v>
      </c>
      <c r="B108" s="20" t="s">
        <v>1544</v>
      </c>
      <c r="C108" s="13" t="s">
        <v>1513</v>
      </c>
    </row>
    <row r="109" spans="1:3">
      <c r="A109" s="9" t="s">
        <v>1516</v>
      </c>
      <c r="B109" s="13" t="s">
        <v>1002</v>
      </c>
      <c r="C109" s="13"/>
    </row>
    <row r="110" ht="28" spans="1:3">
      <c r="A110" s="9" t="s">
        <v>1520</v>
      </c>
      <c r="B110" s="20" t="s">
        <v>1543</v>
      </c>
      <c r="C110" s="13" t="s">
        <v>1522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24"/>
  <sheetViews>
    <sheetView workbookViewId="0">
      <selection activeCell="I29" sqref="I29"/>
    </sheetView>
  </sheetViews>
  <sheetFormatPr defaultColWidth="8.72727272727273" defaultRowHeight="14" outlineLevelCol="3"/>
  <cols>
    <col min="1" max="1" width="9"/>
    <col min="2" max="2" width="14.9090909090909"/>
  </cols>
  <sheetData>
    <row r="3" spans="1:4">
      <c r="A3" t="s">
        <v>1573</v>
      </c>
      <c r="B3" t="s">
        <v>1574</v>
      </c>
    </row>
    <row r="4" spans="1:4">
      <c r="A4">
        <v>2</v>
      </c>
      <c r="B4">
        <v>1</v>
      </c>
    </row>
    <row r="5" spans="1:4">
      <c r="A5">
        <v>2.5</v>
      </c>
      <c r="B5">
        <v>1</v>
      </c>
    </row>
    <row r="6" spans="1:4">
      <c r="A6">
        <v>3</v>
      </c>
      <c r="B6">
        <v>14</v>
      </c>
    </row>
    <row r="7" spans="1:4">
      <c r="A7">
        <v>3.5</v>
      </c>
      <c r="B7">
        <v>3</v>
      </c>
    </row>
    <row r="8" spans="1:4">
      <c r="A8">
        <v>4</v>
      </c>
      <c r="B8">
        <v>32</v>
      </c>
    </row>
    <row r="9" spans="1:4">
      <c r="A9">
        <v>4.5</v>
      </c>
      <c r="B9">
        <v>3</v>
      </c>
    </row>
    <row r="10" spans="1:4">
      <c r="A10">
        <v>5</v>
      </c>
      <c r="B10">
        <v>31</v>
      </c>
    </row>
    <row r="11" spans="1:4">
      <c r="A11">
        <v>5.5</v>
      </c>
      <c r="B11">
        <v>5</v>
      </c>
    </row>
    <row r="12" spans="1:4">
      <c r="A12">
        <v>6</v>
      </c>
      <c r="B12">
        <v>19</v>
      </c>
    </row>
    <row r="13" spans="1:4">
      <c r="A13" t="s">
        <v>1532</v>
      </c>
      <c r="B13">
        <v>109</v>
      </c>
    </row>
    <row r="16" spans="1:4">
      <c r="C16">
        <v>2</v>
      </c>
      <c r="D16">
        <v>1</v>
      </c>
    </row>
    <row r="17" spans="3:4">
      <c r="C17">
        <v>2.5</v>
      </c>
      <c r="D17">
        <v>1</v>
      </c>
    </row>
    <row r="18" spans="3:4">
      <c r="C18">
        <v>3</v>
      </c>
      <c r="D18">
        <v>14</v>
      </c>
    </row>
    <row r="19" spans="3:4">
      <c r="C19">
        <v>3.5</v>
      </c>
      <c r="D19">
        <v>3</v>
      </c>
    </row>
    <row r="20" spans="3:4">
      <c r="C20">
        <v>4</v>
      </c>
      <c r="D20">
        <v>32</v>
      </c>
    </row>
    <row r="21" spans="3:4">
      <c r="C21">
        <v>4.5</v>
      </c>
      <c r="D21">
        <v>3</v>
      </c>
    </row>
    <row r="22" spans="3:4">
      <c r="C22">
        <v>5</v>
      </c>
      <c r="D22">
        <v>31</v>
      </c>
    </row>
    <row r="23" spans="3:4">
      <c r="C23">
        <v>5.5</v>
      </c>
      <c r="D23">
        <v>5</v>
      </c>
    </row>
    <row r="24" spans="3:4">
      <c r="C24" s="19">
        <v>6</v>
      </c>
      <c r="D24" s="19">
        <v>19</v>
      </c>
    </row>
  </sheetData>
  <pageMargins left="0.75" right="0.75" top="1" bottom="1" header="0.5" footer="0.5"/>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0"/>
  <sheetViews>
    <sheetView topLeftCell="D1" workbookViewId="0">
      <selection activeCell="P12" sqref="P12"/>
    </sheetView>
  </sheetViews>
  <sheetFormatPr defaultColWidth="8.72727272727273" defaultRowHeight="14"/>
  <cols>
    <col min="1" max="2" width="8.72727272727273" style="9"/>
    <col min="3" max="3" width="132.636363636364" style="9" customWidth="1"/>
    <col min="4" max="4" width="8.72727272727273" style="9"/>
    <col min="5" max="5" width="24.5454545454545" style="9" customWidth="1"/>
    <col min="6" max="6" width="9.18181818181818" style="12" customWidth="1"/>
    <col min="7" max="8" width="11.5454545454545" style="12" customWidth="1"/>
    <col min="9" max="9" width="12.8181818181818" style="12" customWidth="1"/>
    <col min="10" max="10" width="15.1818181818182" style="12" customWidth="1"/>
    <col min="11" max="11" width="12.8181818181818" style="12" customWidth="1"/>
    <col min="12" max="12" width="14" style="12" customWidth="1"/>
    <col min="13" max="13" width="13.9090909090909" style="9" customWidth="1"/>
    <col min="14" max="16384" width="8.72727272727273" style="9"/>
  </cols>
  <sheetData>
    <row r="1" spans="1:14">
      <c r="A1" s="10" t="s">
        <v>890</v>
      </c>
      <c r="B1" s="11" t="s">
        <v>4</v>
      </c>
      <c r="C1" s="10" t="s">
        <v>7</v>
      </c>
      <c r="D1" s="11" t="s">
        <v>892</v>
      </c>
      <c r="E1" s="10" t="s">
        <v>898</v>
      </c>
      <c r="F1" s="10" t="s">
        <v>1575</v>
      </c>
      <c r="G1" s="10" t="s">
        <v>1576</v>
      </c>
      <c r="H1" s="10" t="s">
        <v>1577</v>
      </c>
      <c r="I1" s="10" t="s">
        <v>1578</v>
      </c>
      <c r="J1" s="12" t="s">
        <v>1579</v>
      </c>
      <c r="K1" s="10" t="s">
        <v>1580</v>
      </c>
      <c r="L1" s="10" t="s">
        <v>1581</v>
      </c>
      <c r="M1" s="10" t="s">
        <v>902</v>
      </c>
      <c r="N1" s="18" t="s">
        <v>1573</v>
      </c>
    </row>
    <row r="2" spans="1:14">
      <c r="A2" s="9" t="s">
        <v>921</v>
      </c>
      <c r="B2" s="12">
        <v>2010</v>
      </c>
      <c r="C2" s="13" t="s">
        <v>701</v>
      </c>
      <c r="D2" s="12">
        <v>339</v>
      </c>
      <c r="E2" s="13" t="s">
        <v>927</v>
      </c>
      <c r="F2" s="12">
        <v>1</v>
      </c>
      <c r="G2" s="12">
        <v>1</v>
      </c>
      <c r="H2" s="12">
        <v>1</v>
      </c>
      <c r="I2" s="12">
        <v>1</v>
      </c>
      <c r="J2" s="12" t="s">
        <v>1582</v>
      </c>
      <c r="K2" s="12">
        <v>1</v>
      </c>
      <c r="L2" s="12">
        <v>1</v>
      </c>
      <c r="M2" s="13" t="s">
        <v>702</v>
      </c>
      <c r="N2" s="9">
        <f t="shared" ref="N2:N65" si="0">SUM(F2,G2,H2,I2,K2,L2)</f>
        <v>6</v>
      </c>
    </row>
    <row r="3" spans="1:14">
      <c r="A3" s="9" t="s">
        <v>931</v>
      </c>
      <c r="B3" s="12">
        <v>2010</v>
      </c>
      <c r="C3" s="13" t="s">
        <v>297</v>
      </c>
      <c r="D3" s="12">
        <v>58</v>
      </c>
      <c r="E3" s="13" t="s">
        <v>936</v>
      </c>
      <c r="F3" s="12">
        <v>1</v>
      </c>
      <c r="G3" s="12">
        <v>1</v>
      </c>
      <c r="H3" s="12">
        <v>1</v>
      </c>
      <c r="I3" s="12">
        <v>1</v>
      </c>
      <c r="J3" s="12" t="s">
        <v>1582</v>
      </c>
      <c r="K3" s="12">
        <v>1</v>
      </c>
      <c r="L3" s="12">
        <v>1</v>
      </c>
      <c r="M3" s="13" t="s">
        <v>298</v>
      </c>
      <c r="N3" s="9">
        <f t="shared" si="0"/>
        <v>6</v>
      </c>
    </row>
    <row r="4" spans="1:14">
      <c r="A4" s="9" t="s">
        <v>1157</v>
      </c>
      <c r="B4" s="12">
        <v>2014</v>
      </c>
      <c r="C4" s="13" t="s">
        <v>318</v>
      </c>
      <c r="D4" s="12">
        <v>56</v>
      </c>
      <c r="E4" s="13" t="s">
        <v>1160</v>
      </c>
      <c r="F4" s="12">
        <v>1</v>
      </c>
      <c r="G4" s="12">
        <v>1</v>
      </c>
      <c r="H4" s="12">
        <v>1</v>
      </c>
      <c r="I4" s="12">
        <v>1</v>
      </c>
      <c r="J4" s="12" t="s">
        <v>1582</v>
      </c>
      <c r="K4" s="12">
        <v>1</v>
      </c>
      <c r="L4" s="12">
        <v>1</v>
      </c>
      <c r="M4" s="13" t="s">
        <v>319</v>
      </c>
      <c r="N4" s="9">
        <f t="shared" si="0"/>
        <v>6</v>
      </c>
    </row>
    <row r="5" spans="1:14">
      <c r="A5" s="9" t="s">
        <v>1184</v>
      </c>
      <c r="B5" s="12">
        <v>2014</v>
      </c>
      <c r="C5" s="13" t="s">
        <v>368</v>
      </c>
      <c r="D5" s="12">
        <v>89</v>
      </c>
      <c r="E5" s="13" t="s">
        <v>1186</v>
      </c>
      <c r="F5" s="12">
        <v>1</v>
      </c>
      <c r="G5" s="12">
        <v>1</v>
      </c>
      <c r="H5" s="12">
        <v>1</v>
      </c>
      <c r="I5" s="12">
        <v>1</v>
      </c>
      <c r="J5" s="12" t="s">
        <v>1582</v>
      </c>
      <c r="K5" s="12">
        <v>1</v>
      </c>
      <c r="L5" s="12">
        <v>1</v>
      </c>
      <c r="M5" s="13" t="s">
        <v>369</v>
      </c>
      <c r="N5" s="9">
        <f t="shared" si="0"/>
        <v>6</v>
      </c>
    </row>
    <row r="6" spans="1:14">
      <c r="A6" s="9" t="s">
        <v>1199</v>
      </c>
      <c r="B6" s="12">
        <v>2014</v>
      </c>
      <c r="C6" s="13" t="s">
        <v>839</v>
      </c>
      <c r="D6" s="12">
        <v>29</v>
      </c>
      <c r="E6" s="13" t="s">
        <v>1201</v>
      </c>
      <c r="F6" s="12">
        <v>1</v>
      </c>
      <c r="G6" s="12">
        <v>1</v>
      </c>
      <c r="H6" s="12">
        <v>1</v>
      </c>
      <c r="I6" s="12">
        <v>1</v>
      </c>
      <c r="J6" s="12" t="s">
        <v>1582</v>
      </c>
      <c r="K6" s="12">
        <v>1</v>
      </c>
      <c r="L6" s="12">
        <v>1</v>
      </c>
      <c r="M6" s="13" t="s">
        <v>840</v>
      </c>
      <c r="N6" s="9">
        <f t="shared" si="0"/>
        <v>6</v>
      </c>
    </row>
    <row r="7" spans="1:14">
      <c r="A7" s="9" t="s">
        <v>1238</v>
      </c>
      <c r="B7" s="12">
        <v>2015</v>
      </c>
      <c r="C7" s="13" t="s">
        <v>378</v>
      </c>
      <c r="D7" s="12">
        <v>85</v>
      </c>
      <c r="E7" s="13" t="s">
        <v>1241</v>
      </c>
      <c r="F7" s="12">
        <v>1</v>
      </c>
      <c r="G7" s="12">
        <v>1</v>
      </c>
      <c r="H7" s="12">
        <v>1</v>
      </c>
      <c r="I7" s="12">
        <v>1</v>
      </c>
      <c r="J7" s="12" t="s">
        <v>1582</v>
      </c>
      <c r="K7" s="12">
        <v>1</v>
      </c>
      <c r="L7" s="12">
        <v>1</v>
      </c>
      <c r="M7" s="13" t="s">
        <v>379</v>
      </c>
      <c r="N7" s="9">
        <f t="shared" si="0"/>
        <v>6</v>
      </c>
    </row>
    <row r="8" spans="1:14">
      <c r="A8" s="9" t="s">
        <v>1363</v>
      </c>
      <c r="B8" s="12">
        <v>2019</v>
      </c>
      <c r="C8" s="13" t="s">
        <v>344</v>
      </c>
      <c r="D8" s="12">
        <v>14</v>
      </c>
      <c r="E8" s="13" t="s">
        <v>1366</v>
      </c>
      <c r="F8" s="12">
        <v>1</v>
      </c>
      <c r="G8" s="12">
        <v>1</v>
      </c>
      <c r="H8" s="12">
        <v>1</v>
      </c>
      <c r="I8" s="12">
        <v>1</v>
      </c>
      <c r="J8" s="12" t="s">
        <v>1582</v>
      </c>
      <c r="K8" s="12">
        <v>1</v>
      </c>
      <c r="L8" s="12">
        <v>1</v>
      </c>
      <c r="M8" s="13" t="s">
        <v>345</v>
      </c>
      <c r="N8" s="9">
        <f t="shared" si="0"/>
        <v>6</v>
      </c>
    </row>
    <row r="9" spans="1:14">
      <c r="A9" s="9" t="s">
        <v>1380</v>
      </c>
      <c r="B9" s="12">
        <v>2019</v>
      </c>
      <c r="C9" s="13" t="s">
        <v>72</v>
      </c>
      <c r="D9" s="12">
        <v>39</v>
      </c>
      <c r="E9" s="13" t="s">
        <v>1384</v>
      </c>
      <c r="F9" s="12">
        <v>1</v>
      </c>
      <c r="G9" s="12">
        <v>1</v>
      </c>
      <c r="H9" s="12">
        <v>1</v>
      </c>
      <c r="I9" s="12">
        <v>1</v>
      </c>
      <c r="J9" s="12" t="s">
        <v>1582</v>
      </c>
      <c r="K9" s="12">
        <v>1</v>
      </c>
      <c r="L9" s="12">
        <v>1</v>
      </c>
      <c r="M9" s="13" t="s">
        <v>73</v>
      </c>
      <c r="N9" s="9">
        <f t="shared" si="0"/>
        <v>6</v>
      </c>
    </row>
    <row r="10" spans="1:14">
      <c r="A10" s="9" t="s">
        <v>1458</v>
      </c>
      <c r="B10" s="12">
        <v>2022</v>
      </c>
      <c r="C10" s="13" t="s">
        <v>705</v>
      </c>
      <c r="D10" s="12">
        <v>41</v>
      </c>
      <c r="E10" s="13" t="s">
        <v>1460</v>
      </c>
      <c r="F10" s="12">
        <v>1</v>
      </c>
      <c r="G10" s="12">
        <v>1</v>
      </c>
      <c r="H10" s="12">
        <v>1</v>
      </c>
      <c r="I10" s="12">
        <v>1</v>
      </c>
      <c r="J10" s="12" t="s">
        <v>1582</v>
      </c>
      <c r="K10" s="12">
        <v>1</v>
      </c>
      <c r="L10" s="12">
        <v>1</v>
      </c>
      <c r="M10" s="13" t="s">
        <v>706</v>
      </c>
      <c r="N10" s="9">
        <f t="shared" si="0"/>
        <v>6</v>
      </c>
    </row>
    <row r="11" spans="1:14">
      <c r="A11" s="9" t="s">
        <v>1472</v>
      </c>
      <c r="B11" s="12">
        <v>2024</v>
      </c>
      <c r="C11" s="13" t="s">
        <v>713</v>
      </c>
      <c r="D11" s="12">
        <v>0</v>
      </c>
      <c r="E11" s="9" t="s">
        <v>1197</v>
      </c>
      <c r="F11" s="12">
        <v>1</v>
      </c>
      <c r="G11" s="12">
        <v>1</v>
      </c>
      <c r="H11" s="12">
        <v>1</v>
      </c>
      <c r="I11" s="12">
        <v>1</v>
      </c>
      <c r="J11" s="12" t="s">
        <v>1582</v>
      </c>
      <c r="K11" s="12">
        <v>1</v>
      </c>
      <c r="L11" s="12">
        <v>1</v>
      </c>
      <c r="M11" s="13" t="s">
        <v>714</v>
      </c>
      <c r="N11" s="9">
        <f t="shared" si="0"/>
        <v>6</v>
      </c>
    </row>
    <row r="12" spans="1:14">
      <c r="A12" s="9" t="s">
        <v>1006</v>
      </c>
      <c r="B12" s="12">
        <v>2011</v>
      </c>
      <c r="C12" s="13" t="s">
        <v>171</v>
      </c>
      <c r="D12" s="12">
        <v>20</v>
      </c>
      <c r="E12" s="13" t="s">
        <v>1010</v>
      </c>
      <c r="F12" s="12">
        <v>1</v>
      </c>
      <c r="G12" s="12">
        <v>1</v>
      </c>
      <c r="H12" s="12">
        <v>1</v>
      </c>
      <c r="I12" s="12">
        <v>1</v>
      </c>
      <c r="J12" s="12" t="s">
        <v>1583</v>
      </c>
      <c r="K12" s="12">
        <v>0.5</v>
      </c>
      <c r="L12" s="12">
        <v>1</v>
      </c>
      <c r="M12" s="13" t="s">
        <v>172</v>
      </c>
      <c r="N12" s="9">
        <f t="shared" si="0"/>
        <v>5.5</v>
      </c>
    </row>
    <row r="13" spans="1:14">
      <c r="A13" s="9" t="s">
        <v>1026</v>
      </c>
      <c r="B13" s="12">
        <v>2011</v>
      </c>
      <c r="C13" s="13" t="s">
        <v>320</v>
      </c>
      <c r="D13" s="12">
        <v>83</v>
      </c>
      <c r="E13" s="13" t="s">
        <v>910</v>
      </c>
      <c r="F13" s="12">
        <v>1</v>
      </c>
      <c r="G13" s="12">
        <v>1</v>
      </c>
      <c r="H13" s="12">
        <v>1</v>
      </c>
      <c r="I13" s="12">
        <v>1</v>
      </c>
      <c r="J13" s="12" t="s">
        <v>1582</v>
      </c>
      <c r="K13" s="12">
        <v>0.5</v>
      </c>
      <c r="L13" s="12">
        <v>1</v>
      </c>
      <c r="M13" s="13" t="s">
        <v>321</v>
      </c>
      <c r="N13" s="9">
        <f t="shared" si="0"/>
        <v>5.5</v>
      </c>
    </row>
    <row r="14" spans="1:14">
      <c r="A14" s="9" t="s">
        <v>1038</v>
      </c>
      <c r="B14" s="12">
        <v>2011</v>
      </c>
      <c r="C14" s="13" t="s">
        <v>837</v>
      </c>
      <c r="D14" s="12">
        <v>13</v>
      </c>
      <c r="E14" s="13" t="s">
        <v>1041</v>
      </c>
      <c r="F14" s="12">
        <v>1</v>
      </c>
      <c r="G14" s="12">
        <v>1</v>
      </c>
      <c r="H14" s="12">
        <v>1</v>
      </c>
      <c r="I14" s="12">
        <v>1</v>
      </c>
      <c r="J14" s="12" t="s">
        <v>1582</v>
      </c>
      <c r="K14" s="12">
        <v>0.5</v>
      </c>
      <c r="L14" s="12">
        <v>1</v>
      </c>
      <c r="M14" s="13" t="s">
        <v>838</v>
      </c>
      <c r="N14" s="9">
        <f t="shared" si="0"/>
        <v>5.5</v>
      </c>
    </row>
    <row r="15" spans="1:14">
      <c r="A15" s="9" t="s">
        <v>1052</v>
      </c>
      <c r="B15" s="12">
        <v>2011</v>
      </c>
      <c r="C15" s="13" t="s">
        <v>342</v>
      </c>
      <c r="D15" s="12">
        <v>83</v>
      </c>
      <c r="E15" s="13"/>
      <c r="F15" s="12">
        <v>1</v>
      </c>
      <c r="G15" s="12">
        <v>1</v>
      </c>
      <c r="H15" s="12">
        <v>0.5</v>
      </c>
      <c r="I15" s="12">
        <v>1</v>
      </c>
      <c r="J15" s="15" t="s">
        <v>1583</v>
      </c>
      <c r="K15" s="12">
        <v>1</v>
      </c>
      <c r="L15" s="12">
        <v>1</v>
      </c>
      <c r="M15" s="13" t="s">
        <v>343</v>
      </c>
      <c r="N15" s="9">
        <f t="shared" si="0"/>
        <v>5.5</v>
      </c>
    </row>
    <row r="16" spans="1:14">
      <c r="A16" s="9" t="s">
        <v>1106</v>
      </c>
      <c r="B16" s="12">
        <v>2012</v>
      </c>
      <c r="C16" s="13" t="s">
        <v>84</v>
      </c>
      <c r="D16" s="12">
        <v>33</v>
      </c>
      <c r="E16" s="13" t="s">
        <v>1109</v>
      </c>
      <c r="F16" s="12">
        <v>1</v>
      </c>
      <c r="G16" s="12">
        <v>1</v>
      </c>
      <c r="H16" s="12">
        <v>0.5</v>
      </c>
      <c r="I16" s="12">
        <v>1</v>
      </c>
      <c r="J16" s="12" t="s">
        <v>1582</v>
      </c>
      <c r="K16" s="12">
        <v>1</v>
      </c>
      <c r="L16" s="12">
        <v>1</v>
      </c>
      <c r="M16" s="13" t="s">
        <v>85</v>
      </c>
      <c r="N16" s="9">
        <f t="shared" si="0"/>
        <v>5.5</v>
      </c>
    </row>
    <row r="17" spans="1:14">
      <c r="A17" s="9" t="s">
        <v>1136</v>
      </c>
      <c r="B17" s="12">
        <v>2013</v>
      </c>
      <c r="C17" s="13" t="s">
        <v>362</v>
      </c>
      <c r="D17" s="12">
        <v>35</v>
      </c>
      <c r="E17" s="13" t="s">
        <v>1139</v>
      </c>
      <c r="F17" s="12">
        <v>1</v>
      </c>
      <c r="G17" s="12">
        <v>1</v>
      </c>
      <c r="H17" s="12">
        <v>0.5</v>
      </c>
      <c r="I17" s="12">
        <v>1</v>
      </c>
      <c r="J17" s="12" t="s">
        <v>1582</v>
      </c>
      <c r="K17" s="12">
        <v>1</v>
      </c>
      <c r="L17" s="12">
        <v>1</v>
      </c>
      <c r="M17" s="13" t="s">
        <v>363</v>
      </c>
      <c r="N17" s="9">
        <f t="shared" si="0"/>
        <v>5.5</v>
      </c>
    </row>
    <row r="18" spans="1:14">
      <c r="A18" s="9" t="s">
        <v>1254</v>
      </c>
      <c r="B18" s="12">
        <v>2015</v>
      </c>
      <c r="C18" s="13" t="s">
        <v>403</v>
      </c>
      <c r="D18" s="12">
        <v>126</v>
      </c>
      <c r="E18" s="13"/>
      <c r="F18" s="12">
        <v>1</v>
      </c>
      <c r="G18" s="12">
        <v>1</v>
      </c>
      <c r="H18" s="12">
        <v>0.5</v>
      </c>
      <c r="I18" s="12">
        <v>1</v>
      </c>
      <c r="J18" s="12" t="s">
        <v>1582</v>
      </c>
      <c r="K18" s="12">
        <v>1</v>
      </c>
      <c r="L18" s="12">
        <v>1</v>
      </c>
      <c r="M18" s="13" t="s">
        <v>404</v>
      </c>
      <c r="N18" s="9">
        <f t="shared" si="0"/>
        <v>5.5</v>
      </c>
    </row>
    <row r="19" spans="1:14">
      <c r="A19" s="9" t="s">
        <v>1269</v>
      </c>
      <c r="B19" s="12">
        <v>2016</v>
      </c>
      <c r="C19" s="13" t="s">
        <v>675</v>
      </c>
      <c r="D19" s="12">
        <v>4</v>
      </c>
      <c r="E19" s="13" t="s">
        <v>1272</v>
      </c>
      <c r="F19" s="12">
        <v>1</v>
      </c>
      <c r="G19" s="12">
        <v>1</v>
      </c>
      <c r="H19" s="12">
        <v>0.5</v>
      </c>
      <c r="I19" s="12">
        <v>1</v>
      </c>
      <c r="J19" s="12" t="s">
        <v>1582</v>
      </c>
      <c r="K19" s="12">
        <v>1</v>
      </c>
      <c r="L19" s="12">
        <v>1</v>
      </c>
      <c r="M19" s="13" t="s">
        <v>676</v>
      </c>
      <c r="N19" s="9">
        <f t="shared" si="0"/>
        <v>5.5</v>
      </c>
    </row>
    <row r="20" spans="1:14">
      <c r="A20" s="9" t="s">
        <v>1274</v>
      </c>
      <c r="B20" s="12">
        <v>2016</v>
      </c>
      <c r="C20" s="13" t="s">
        <v>391</v>
      </c>
      <c r="D20" s="12">
        <v>49</v>
      </c>
      <c r="E20" s="13" t="s">
        <v>977</v>
      </c>
      <c r="F20" s="12">
        <v>1</v>
      </c>
      <c r="G20" s="12">
        <v>1</v>
      </c>
      <c r="H20" s="12">
        <v>1</v>
      </c>
      <c r="I20" s="12">
        <v>1</v>
      </c>
      <c r="J20" s="12" t="s">
        <v>1582</v>
      </c>
      <c r="K20" s="12">
        <v>0.5</v>
      </c>
      <c r="L20" s="12">
        <v>1</v>
      </c>
      <c r="M20" s="13" t="s">
        <v>392</v>
      </c>
      <c r="N20" s="9">
        <f t="shared" si="0"/>
        <v>5.5</v>
      </c>
    </row>
    <row r="21" spans="1:14">
      <c r="A21" s="9" t="s">
        <v>1284</v>
      </c>
      <c r="B21" s="12">
        <v>2017</v>
      </c>
      <c r="C21" s="13" t="s">
        <v>364</v>
      </c>
      <c r="D21" s="12">
        <v>25</v>
      </c>
      <c r="E21" s="13" t="s">
        <v>1287</v>
      </c>
      <c r="F21" s="12">
        <v>1</v>
      </c>
      <c r="G21" s="12">
        <v>1</v>
      </c>
      <c r="H21" s="12">
        <v>0.5</v>
      </c>
      <c r="I21" s="12">
        <v>1</v>
      </c>
      <c r="J21" s="12" t="s">
        <v>1582</v>
      </c>
      <c r="K21" s="12">
        <v>1</v>
      </c>
      <c r="L21" s="12">
        <v>1</v>
      </c>
      <c r="M21" s="13" t="s">
        <v>365</v>
      </c>
      <c r="N21" s="9">
        <f t="shared" si="0"/>
        <v>5.5</v>
      </c>
    </row>
    <row r="22" spans="1:14">
      <c r="A22" s="9" t="s">
        <v>1290</v>
      </c>
      <c r="B22" s="12">
        <v>2017</v>
      </c>
      <c r="C22" s="13" t="s">
        <v>827</v>
      </c>
      <c r="D22" s="12">
        <v>15</v>
      </c>
      <c r="E22" s="13" t="s">
        <v>1197</v>
      </c>
      <c r="F22" s="12">
        <v>1</v>
      </c>
      <c r="G22" s="12">
        <v>1</v>
      </c>
      <c r="H22" s="12">
        <v>0.5</v>
      </c>
      <c r="I22" s="12">
        <v>1</v>
      </c>
      <c r="J22" s="12" t="s">
        <v>1582</v>
      </c>
      <c r="K22" s="12">
        <v>1</v>
      </c>
      <c r="L22" s="12">
        <v>1</v>
      </c>
      <c r="M22" s="13" t="s">
        <v>828</v>
      </c>
      <c r="N22" s="9">
        <f t="shared" si="0"/>
        <v>5.5</v>
      </c>
    </row>
    <row r="23" spans="1:14">
      <c r="A23" s="9" t="s">
        <v>1396</v>
      </c>
      <c r="B23" s="12">
        <v>2019</v>
      </c>
      <c r="C23" s="13" t="s">
        <v>574</v>
      </c>
      <c r="D23" s="12">
        <v>25</v>
      </c>
      <c r="E23" s="13" t="s">
        <v>1398</v>
      </c>
      <c r="F23" s="12">
        <v>1</v>
      </c>
      <c r="G23" s="12">
        <v>1</v>
      </c>
      <c r="H23" s="12">
        <v>1</v>
      </c>
      <c r="I23" s="12">
        <v>1</v>
      </c>
      <c r="J23" s="12" t="s">
        <v>1582</v>
      </c>
      <c r="K23" s="12">
        <v>1</v>
      </c>
      <c r="L23" s="12">
        <v>0.5</v>
      </c>
      <c r="M23" s="13" t="s">
        <v>575</v>
      </c>
      <c r="N23" s="9">
        <f t="shared" si="0"/>
        <v>5.5</v>
      </c>
    </row>
    <row r="24" spans="1:14">
      <c r="A24" s="9" t="s">
        <v>914</v>
      </c>
      <c r="B24" s="12">
        <v>2010</v>
      </c>
      <c r="C24" s="13" t="s">
        <v>283</v>
      </c>
      <c r="D24" s="12">
        <v>70</v>
      </c>
      <c r="E24" s="13" t="s">
        <v>917</v>
      </c>
      <c r="F24" s="12">
        <v>1</v>
      </c>
      <c r="G24" s="12">
        <v>1</v>
      </c>
      <c r="H24" s="12">
        <v>0.5</v>
      </c>
      <c r="I24" s="12">
        <v>1</v>
      </c>
      <c r="J24" s="12" t="s">
        <v>1582</v>
      </c>
      <c r="K24" s="12">
        <v>0.5</v>
      </c>
      <c r="L24" s="12">
        <v>1</v>
      </c>
      <c r="M24" s="13" t="s">
        <v>284</v>
      </c>
      <c r="N24" s="9">
        <f t="shared" si="0"/>
        <v>5</v>
      </c>
    </row>
    <row r="25" spans="1:14">
      <c r="A25" s="9" t="s">
        <v>998</v>
      </c>
      <c r="B25" s="12">
        <v>2010</v>
      </c>
      <c r="C25" s="13" t="s">
        <v>709</v>
      </c>
      <c r="D25" s="12">
        <v>50</v>
      </c>
      <c r="E25" s="13" t="s">
        <v>1003</v>
      </c>
      <c r="F25" s="12">
        <v>1</v>
      </c>
      <c r="G25" s="12">
        <v>1</v>
      </c>
      <c r="H25" s="12">
        <v>1</v>
      </c>
      <c r="I25" s="12">
        <v>1</v>
      </c>
      <c r="J25" s="12" t="s">
        <v>1584</v>
      </c>
      <c r="K25" s="12">
        <v>0</v>
      </c>
      <c r="L25" s="12">
        <v>1</v>
      </c>
      <c r="M25" s="13" t="s">
        <v>710</v>
      </c>
      <c r="N25" s="9">
        <f t="shared" si="0"/>
        <v>5</v>
      </c>
    </row>
    <row r="26" spans="1:14">
      <c r="A26" s="9" t="s">
        <v>1014</v>
      </c>
      <c r="B26" s="12">
        <v>2011</v>
      </c>
      <c r="C26" s="13" t="s">
        <v>586</v>
      </c>
      <c r="D26" s="12">
        <v>31</v>
      </c>
      <c r="E26" s="13" t="s">
        <v>1018</v>
      </c>
      <c r="F26" s="12">
        <v>1</v>
      </c>
      <c r="G26" s="12">
        <v>1</v>
      </c>
      <c r="H26" s="12">
        <v>1</v>
      </c>
      <c r="I26" s="12">
        <v>0</v>
      </c>
      <c r="J26" s="12" t="s">
        <v>1585</v>
      </c>
      <c r="K26" s="12">
        <v>1</v>
      </c>
      <c r="L26" s="12">
        <v>1</v>
      </c>
      <c r="M26" s="13" t="s">
        <v>587</v>
      </c>
      <c r="N26" s="9">
        <f t="shared" si="0"/>
        <v>5</v>
      </c>
    </row>
    <row r="27" spans="1:14">
      <c r="A27" s="9" t="s">
        <v>1031</v>
      </c>
      <c r="B27" s="12">
        <v>2011</v>
      </c>
      <c r="C27" s="13" t="s">
        <v>109</v>
      </c>
      <c r="D27" s="12">
        <v>14</v>
      </c>
      <c r="E27" s="13" t="s">
        <v>1035</v>
      </c>
      <c r="F27" s="12">
        <v>1</v>
      </c>
      <c r="G27" s="12">
        <v>1</v>
      </c>
      <c r="H27" s="12">
        <v>1</v>
      </c>
      <c r="I27" s="12">
        <v>1</v>
      </c>
      <c r="J27" s="12" t="s">
        <v>1582</v>
      </c>
      <c r="K27" s="12">
        <v>0</v>
      </c>
      <c r="L27" s="12">
        <v>1</v>
      </c>
      <c r="M27" s="13" t="s">
        <v>110</v>
      </c>
      <c r="N27" s="9">
        <f t="shared" si="0"/>
        <v>5</v>
      </c>
    </row>
    <row r="28" spans="1:14">
      <c r="A28" s="9" t="s">
        <v>1062</v>
      </c>
      <c r="B28" s="12">
        <v>2012</v>
      </c>
      <c r="C28" s="13" t="s">
        <v>727</v>
      </c>
      <c r="D28" s="12">
        <v>52</v>
      </c>
      <c r="E28" s="13" t="s">
        <v>1064</v>
      </c>
      <c r="F28" s="12">
        <v>1</v>
      </c>
      <c r="G28" s="12">
        <v>1</v>
      </c>
      <c r="H28" s="12">
        <v>1</v>
      </c>
      <c r="I28" s="12">
        <v>1</v>
      </c>
      <c r="J28" s="12" t="s">
        <v>1584</v>
      </c>
      <c r="K28" s="12">
        <v>0</v>
      </c>
      <c r="L28" s="12">
        <v>1</v>
      </c>
      <c r="M28" s="13" t="s">
        <v>728</v>
      </c>
      <c r="N28" s="9">
        <f t="shared" si="0"/>
        <v>5</v>
      </c>
    </row>
    <row r="29" spans="1:14">
      <c r="A29" s="9" t="s">
        <v>1086</v>
      </c>
      <c r="B29" s="12">
        <v>2012</v>
      </c>
      <c r="C29" s="13" t="s">
        <v>105</v>
      </c>
      <c r="D29" s="12">
        <v>22</v>
      </c>
      <c r="E29" s="13" t="s">
        <v>1089</v>
      </c>
      <c r="F29" s="12">
        <v>1</v>
      </c>
      <c r="G29" s="12">
        <v>1</v>
      </c>
      <c r="H29" s="12">
        <v>1</v>
      </c>
      <c r="I29" s="12">
        <v>1</v>
      </c>
      <c r="J29" s="12" t="s">
        <v>1582</v>
      </c>
      <c r="K29" s="12">
        <v>0</v>
      </c>
      <c r="L29" s="12">
        <v>1</v>
      </c>
      <c r="M29" s="13" t="s">
        <v>106</v>
      </c>
      <c r="N29" s="9">
        <f t="shared" si="0"/>
        <v>5</v>
      </c>
    </row>
    <row r="30" spans="1:14">
      <c r="A30" s="9" t="s">
        <v>1118</v>
      </c>
      <c r="B30" s="12">
        <v>2013</v>
      </c>
      <c r="C30" s="13" t="s">
        <v>401</v>
      </c>
      <c r="D30" s="12">
        <v>25</v>
      </c>
      <c r="E30" s="13" t="s">
        <v>1121</v>
      </c>
      <c r="F30" s="12">
        <v>1</v>
      </c>
      <c r="G30" s="12">
        <v>1</v>
      </c>
      <c r="H30" s="12">
        <v>1</v>
      </c>
      <c r="I30" s="12">
        <v>0</v>
      </c>
      <c r="K30" s="12">
        <v>1</v>
      </c>
      <c r="L30" s="12">
        <v>1</v>
      </c>
      <c r="M30" s="13" t="s">
        <v>402</v>
      </c>
      <c r="N30" s="9">
        <f t="shared" si="0"/>
        <v>5</v>
      </c>
    </row>
    <row r="31" spans="1:14">
      <c r="A31" s="9" t="s">
        <v>1124</v>
      </c>
      <c r="B31" s="12">
        <v>2013</v>
      </c>
      <c r="C31" s="13" t="s">
        <v>158</v>
      </c>
      <c r="D31" s="12">
        <v>13</v>
      </c>
      <c r="E31" s="13" t="s">
        <v>910</v>
      </c>
      <c r="F31" s="12">
        <v>1</v>
      </c>
      <c r="G31" s="12">
        <v>1</v>
      </c>
      <c r="H31" s="12">
        <v>1</v>
      </c>
      <c r="I31" s="12">
        <v>1</v>
      </c>
      <c r="J31" s="12" t="s">
        <v>1582</v>
      </c>
      <c r="K31" s="12">
        <v>0</v>
      </c>
      <c r="L31" s="12">
        <v>1</v>
      </c>
      <c r="M31" s="13" t="s">
        <v>159</v>
      </c>
      <c r="N31" s="9">
        <f t="shared" si="0"/>
        <v>5</v>
      </c>
    </row>
    <row r="32" spans="1:14">
      <c r="A32" s="9" t="s">
        <v>1152</v>
      </c>
      <c r="B32" s="12">
        <v>2014</v>
      </c>
      <c r="C32" s="13" t="s">
        <v>22</v>
      </c>
      <c r="D32" s="12">
        <v>28</v>
      </c>
      <c r="E32" s="13" t="s">
        <v>1155</v>
      </c>
      <c r="F32" s="12">
        <v>1</v>
      </c>
      <c r="G32" s="12">
        <v>1</v>
      </c>
      <c r="H32" s="12">
        <v>1</v>
      </c>
      <c r="I32" s="12">
        <v>1</v>
      </c>
      <c r="J32" s="12" t="s">
        <v>1582</v>
      </c>
      <c r="K32" s="12">
        <v>0</v>
      </c>
      <c r="L32" s="12">
        <v>1</v>
      </c>
      <c r="M32" s="13" t="s">
        <v>23</v>
      </c>
      <c r="N32" s="9">
        <f t="shared" si="0"/>
        <v>5</v>
      </c>
    </row>
    <row r="33" spans="1:14">
      <c r="A33" s="9" t="s">
        <v>1169</v>
      </c>
      <c r="B33" s="12">
        <v>2014</v>
      </c>
      <c r="C33" s="13" t="s">
        <v>24</v>
      </c>
      <c r="D33" s="12">
        <v>46</v>
      </c>
      <c r="E33" s="13"/>
      <c r="F33" s="12">
        <v>1</v>
      </c>
      <c r="G33" s="12">
        <v>1</v>
      </c>
      <c r="H33" s="12">
        <v>1</v>
      </c>
      <c r="I33" s="12">
        <v>1</v>
      </c>
      <c r="J33" s="12" t="s">
        <v>1582</v>
      </c>
      <c r="K33" s="12">
        <v>0</v>
      </c>
      <c r="L33" s="12">
        <v>1</v>
      </c>
      <c r="M33" s="13" t="s">
        <v>25</v>
      </c>
      <c r="N33" s="9">
        <f t="shared" si="0"/>
        <v>5</v>
      </c>
    </row>
    <row r="34" spans="1:14">
      <c r="A34" s="9" t="s">
        <v>1188</v>
      </c>
      <c r="B34" s="12">
        <v>2014</v>
      </c>
      <c r="C34" s="13" t="s">
        <v>374</v>
      </c>
      <c r="D34" s="12">
        <v>58</v>
      </c>
      <c r="E34" s="13" t="s">
        <v>1192</v>
      </c>
      <c r="F34" s="12">
        <v>1</v>
      </c>
      <c r="G34" s="12">
        <v>1</v>
      </c>
      <c r="H34" s="12">
        <v>0</v>
      </c>
      <c r="I34" s="12">
        <v>1</v>
      </c>
      <c r="J34" s="12" t="s">
        <v>1582</v>
      </c>
      <c r="K34" s="12">
        <v>1</v>
      </c>
      <c r="L34" s="12">
        <v>1</v>
      </c>
      <c r="M34" s="13" t="s">
        <v>375</v>
      </c>
      <c r="N34" s="9">
        <f t="shared" si="0"/>
        <v>5</v>
      </c>
    </row>
    <row r="35" spans="1:14">
      <c r="A35" s="9" t="s">
        <v>1203</v>
      </c>
      <c r="B35" s="12">
        <v>2015</v>
      </c>
      <c r="C35" s="13" t="s">
        <v>576</v>
      </c>
      <c r="D35" s="12">
        <v>10</v>
      </c>
      <c r="E35" s="13" t="s">
        <v>1206</v>
      </c>
      <c r="F35" s="12">
        <v>1</v>
      </c>
      <c r="G35" s="12">
        <v>1</v>
      </c>
      <c r="H35" s="12">
        <v>1</v>
      </c>
      <c r="I35" s="12">
        <v>1</v>
      </c>
      <c r="J35" s="12" t="s">
        <v>1582</v>
      </c>
      <c r="K35" s="12">
        <v>0</v>
      </c>
      <c r="L35" s="12">
        <v>1</v>
      </c>
      <c r="M35" s="13" t="s">
        <v>577</v>
      </c>
      <c r="N35" s="9">
        <f t="shared" si="0"/>
        <v>5</v>
      </c>
    </row>
    <row r="36" spans="1:14">
      <c r="A36" s="9" t="s">
        <v>1220</v>
      </c>
      <c r="B36" s="12">
        <v>2015</v>
      </c>
      <c r="C36" s="13" t="s">
        <v>723</v>
      </c>
      <c r="D36" s="12">
        <v>21</v>
      </c>
      <c r="E36" s="13" t="s">
        <v>1224</v>
      </c>
      <c r="F36" s="12">
        <v>1</v>
      </c>
      <c r="G36" s="12">
        <v>1</v>
      </c>
      <c r="H36" s="12">
        <v>1</v>
      </c>
      <c r="I36" s="12">
        <v>1</v>
      </c>
      <c r="J36" s="12" t="s">
        <v>1583</v>
      </c>
      <c r="K36" s="12">
        <v>0</v>
      </c>
      <c r="L36" s="12">
        <v>1</v>
      </c>
      <c r="M36" s="13" t="s">
        <v>724</v>
      </c>
      <c r="N36" s="9">
        <f t="shared" si="0"/>
        <v>5</v>
      </c>
    </row>
    <row r="37" spans="1:14">
      <c r="A37" s="9" t="s">
        <v>1243</v>
      </c>
      <c r="B37" s="12">
        <v>2015</v>
      </c>
      <c r="C37" s="13" t="s">
        <v>387</v>
      </c>
      <c r="D37" s="12">
        <v>10</v>
      </c>
      <c r="E37" s="13"/>
      <c r="F37" s="12">
        <v>1</v>
      </c>
      <c r="G37" s="12">
        <v>1</v>
      </c>
      <c r="H37" s="12">
        <v>1</v>
      </c>
      <c r="I37" s="12">
        <v>1</v>
      </c>
      <c r="J37" s="12" t="s">
        <v>1582</v>
      </c>
      <c r="K37" s="12">
        <v>1</v>
      </c>
      <c r="L37" s="12">
        <v>0</v>
      </c>
      <c r="M37" s="13" t="s">
        <v>388</v>
      </c>
      <c r="N37" s="9">
        <f t="shared" si="0"/>
        <v>5</v>
      </c>
    </row>
    <row r="38" spans="1:14">
      <c r="A38" s="9" t="s">
        <v>1248</v>
      </c>
      <c r="B38" s="12">
        <v>2015</v>
      </c>
      <c r="C38" s="13" t="s">
        <v>821</v>
      </c>
      <c r="D38" s="12">
        <v>90</v>
      </c>
      <c r="E38" s="13" t="s">
        <v>1251</v>
      </c>
      <c r="F38" s="12">
        <v>1</v>
      </c>
      <c r="G38" s="12">
        <v>1</v>
      </c>
      <c r="H38" s="12">
        <v>1</v>
      </c>
      <c r="I38" s="12">
        <v>1</v>
      </c>
      <c r="J38" s="12" t="s">
        <v>1582</v>
      </c>
      <c r="K38" s="12">
        <v>0</v>
      </c>
      <c r="L38" s="12">
        <v>1</v>
      </c>
      <c r="M38" s="13" t="s">
        <v>822</v>
      </c>
      <c r="N38" s="9">
        <f t="shared" si="0"/>
        <v>5</v>
      </c>
    </row>
    <row r="39" spans="1:14">
      <c r="A39" s="9" t="s">
        <v>1259</v>
      </c>
      <c r="B39" s="12">
        <v>2016</v>
      </c>
      <c r="C39" s="13" t="s">
        <v>74</v>
      </c>
      <c r="D39" s="12">
        <v>38</v>
      </c>
      <c r="E39" s="13" t="s">
        <v>1197</v>
      </c>
      <c r="F39" s="12">
        <v>1</v>
      </c>
      <c r="G39" s="12">
        <v>1</v>
      </c>
      <c r="H39" s="12">
        <v>1</v>
      </c>
      <c r="I39" s="12">
        <v>1</v>
      </c>
      <c r="J39" s="12" t="s">
        <v>1582</v>
      </c>
      <c r="K39" s="12">
        <v>0</v>
      </c>
      <c r="L39" s="12">
        <v>1</v>
      </c>
      <c r="M39" s="13" t="s">
        <v>75</v>
      </c>
      <c r="N39" s="9">
        <f t="shared" si="0"/>
        <v>5</v>
      </c>
    </row>
    <row r="40" spans="1:14">
      <c r="A40" s="9" t="s">
        <v>1314</v>
      </c>
      <c r="B40" s="12">
        <v>2017</v>
      </c>
      <c r="C40" s="13" t="s">
        <v>825</v>
      </c>
      <c r="D40" s="12">
        <v>39</v>
      </c>
      <c r="E40" s="13" t="s">
        <v>1317</v>
      </c>
      <c r="F40" s="12">
        <v>1</v>
      </c>
      <c r="G40" s="12">
        <v>1</v>
      </c>
      <c r="H40" s="12">
        <v>1</v>
      </c>
      <c r="I40" s="12">
        <v>1</v>
      </c>
      <c r="J40" s="12" t="s">
        <v>1582</v>
      </c>
      <c r="K40" s="12">
        <v>0</v>
      </c>
      <c r="L40" s="12">
        <v>1</v>
      </c>
      <c r="M40" s="13" t="s">
        <v>826</v>
      </c>
      <c r="N40" s="9">
        <f t="shared" si="0"/>
        <v>5</v>
      </c>
    </row>
    <row r="41" spans="1:14">
      <c r="A41" s="9" t="s">
        <v>1319</v>
      </c>
      <c r="B41" s="12">
        <v>2017</v>
      </c>
      <c r="C41" s="13" t="s">
        <v>584</v>
      </c>
      <c r="D41" s="12">
        <v>6</v>
      </c>
      <c r="E41" s="13" t="s">
        <v>1321</v>
      </c>
      <c r="F41" s="12">
        <v>1</v>
      </c>
      <c r="G41" s="12">
        <v>1</v>
      </c>
      <c r="H41" s="12">
        <v>1</v>
      </c>
      <c r="I41" s="12">
        <v>1</v>
      </c>
      <c r="J41" s="12" t="s">
        <v>1582</v>
      </c>
      <c r="K41" s="12">
        <v>0</v>
      </c>
      <c r="L41" s="12">
        <v>1</v>
      </c>
      <c r="M41" s="13" t="s">
        <v>585</v>
      </c>
      <c r="N41" s="9">
        <f t="shared" si="0"/>
        <v>5</v>
      </c>
    </row>
    <row r="42" spans="1:14">
      <c r="A42" s="9" t="s">
        <v>1323</v>
      </c>
      <c r="B42" s="12">
        <v>2017</v>
      </c>
      <c r="C42" s="13" t="s">
        <v>875</v>
      </c>
      <c r="D42" s="12">
        <v>61</v>
      </c>
      <c r="E42" s="13" t="s">
        <v>1197</v>
      </c>
      <c r="F42" s="12">
        <v>1</v>
      </c>
      <c r="G42" s="12">
        <v>1</v>
      </c>
      <c r="H42" s="12">
        <v>1</v>
      </c>
      <c r="I42" s="12">
        <v>1</v>
      </c>
      <c r="J42" s="12" t="s">
        <v>1583</v>
      </c>
      <c r="K42" s="12">
        <v>0</v>
      </c>
      <c r="L42" s="12">
        <v>1</v>
      </c>
      <c r="M42" s="13" t="s">
        <v>876</v>
      </c>
      <c r="N42" s="9">
        <f t="shared" si="0"/>
        <v>5</v>
      </c>
    </row>
    <row r="43" spans="1:14">
      <c r="A43" s="9" t="s">
        <v>1329</v>
      </c>
      <c r="B43" s="12">
        <v>2017</v>
      </c>
      <c r="C43" s="13" t="s">
        <v>833</v>
      </c>
      <c r="D43" s="12">
        <v>95</v>
      </c>
      <c r="E43" s="13" t="s">
        <v>910</v>
      </c>
      <c r="F43" s="12">
        <v>1</v>
      </c>
      <c r="G43" s="12">
        <v>1</v>
      </c>
      <c r="H43" s="12">
        <v>1</v>
      </c>
      <c r="I43" s="12">
        <v>1</v>
      </c>
      <c r="J43" s="12" t="s">
        <v>1584</v>
      </c>
      <c r="K43" s="12">
        <v>0</v>
      </c>
      <c r="L43" s="12">
        <v>1</v>
      </c>
      <c r="M43" s="13" t="s">
        <v>834</v>
      </c>
      <c r="N43" s="9">
        <f t="shared" si="0"/>
        <v>5</v>
      </c>
    </row>
    <row r="44" spans="1:14">
      <c r="A44" s="9" t="s">
        <v>1335</v>
      </c>
      <c r="B44" s="12">
        <v>2018</v>
      </c>
      <c r="C44" s="13" t="s">
        <v>851</v>
      </c>
      <c r="D44" s="12">
        <v>51</v>
      </c>
      <c r="E44" s="13" t="s">
        <v>1338</v>
      </c>
      <c r="F44" s="12">
        <v>1</v>
      </c>
      <c r="G44" s="12">
        <v>1</v>
      </c>
      <c r="H44" s="12">
        <v>1</v>
      </c>
      <c r="I44" s="12">
        <v>1</v>
      </c>
      <c r="J44" s="12" t="s">
        <v>1582</v>
      </c>
      <c r="K44" s="12">
        <v>0</v>
      </c>
      <c r="L44" s="12">
        <v>1</v>
      </c>
      <c r="M44" s="13" t="s">
        <v>852</v>
      </c>
      <c r="N44" s="9">
        <f t="shared" si="0"/>
        <v>5</v>
      </c>
    </row>
    <row r="45" spans="1:14">
      <c r="A45" s="9" t="s">
        <v>1358</v>
      </c>
      <c r="B45" s="12">
        <v>2019</v>
      </c>
      <c r="C45" s="13" t="s">
        <v>636</v>
      </c>
      <c r="D45" s="12">
        <v>24</v>
      </c>
      <c r="E45" s="13" t="s">
        <v>1361</v>
      </c>
      <c r="F45" s="12">
        <v>1</v>
      </c>
      <c r="G45" s="12">
        <v>1</v>
      </c>
      <c r="H45" s="12">
        <v>1</v>
      </c>
      <c r="I45" s="12">
        <v>1</v>
      </c>
      <c r="J45" s="12" t="s">
        <v>1583</v>
      </c>
      <c r="K45" s="12">
        <v>0</v>
      </c>
      <c r="L45" s="12">
        <v>1</v>
      </c>
      <c r="M45" s="13" t="s">
        <v>637</v>
      </c>
      <c r="N45" s="9">
        <f t="shared" si="0"/>
        <v>5</v>
      </c>
    </row>
    <row r="46" spans="1:14">
      <c r="A46" s="9" t="s">
        <v>1404</v>
      </c>
      <c r="B46" s="12">
        <v>2020</v>
      </c>
      <c r="C46" s="13" t="s">
        <v>699</v>
      </c>
      <c r="D46" s="12">
        <v>22</v>
      </c>
      <c r="E46" s="13" t="s">
        <v>1407</v>
      </c>
      <c r="F46" s="12">
        <v>1</v>
      </c>
      <c r="G46" s="12">
        <v>1</v>
      </c>
      <c r="H46" s="12">
        <v>1</v>
      </c>
      <c r="I46" s="12">
        <v>1</v>
      </c>
      <c r="J46" s="12" t="s">
        <v>1582</v>
      </c>
      <c r="K46" s="12">
        <v>0</v>
      </c>
      <c r="L46" s="12">
        <v>1</v>
      </c>
      <c r="M46" s="13" t="s">
        <v>700</v>
      </c>
      <c r="N46" s="9">
        <f t="shared" si="0"/>
        <v>5</v>
      </c>
    </row>
    <row r="47" spans="1:14">
      <c r="A47" s="9" t="s">
        <v>1414</v>
      </c>
      <c r="B47" s="12">
        <v>2021</v>
      </c>
      <c r="C47" s="13" t="s">
        <v>656</v>
      </c>
      <c r="D47" s="12">
        <v>2</v>
      </c>
      <c r="E47" s="13" t="s">
        <v>1417</v>
      </c>
      <c r="F47" s="12">
        <v>1</v>
      </c>
      <c r="G47" s="12">
        <v>1</v>
      </c>
      <c r="H47" s="12">
        <v>1</v>
      </c>
      <c r="I47" s="12">
        <v>1</v>
      </c>
      <c r="J47" s="12" t="s">
        <v>1583</v>
      </c>
      <c r="K47" s="12">
        <v>0</v>
      </c>
      <c r="L47" s="12">
        <v>1</v>
      </c>
      <c r="M47" s="13" t="s">
        <v>657</v>
      </c>
      <c r="N47" s="9">
        <f t="shared" si="0"/>
        <v>5</v>
      </c>
    </row>
    <row r="48" spans="1:14">
      <c r="A48" s="9" t="s">
        <v>1420</v>
      </c>
      <c r="B48" s="12">
        <v>2021</v>
      </c>
      <c r="C48" s="13" t="s">
        <v>717</v>
      </c>
      <c r="D48" s="12">
        <v>34</v>
      </c>
      <c r="E48" s="13" t="s">
        <v>1422</v>
      </c>
      <c r="F48" s="12">
        <v>1</v>
      </c>
      <c r="G48" s="12">
        <v>1</v>
      </c>
      <c r="H48" s="12">
        <v>1</v>
      </c>
      <c r="I48" s="12">
        <v>1</v>
      </c>
      <c r="J48" s="12" t="s">
        <v>1582</v>
      </c>
      <c r="K48" s="12">
        <v>1</v>
      </c>
      <c r="L48" s="12">
        <v>0</v>
      </c>
      <c r="M48" s="13" t="s">
        <v>718</v>
      </c>
      <c r="N48" s="9">
        <f t="shared" si="0"/>
        <v>5</v>
      </c>
    </row>
    <row r="49" spans="1:14">
      <c r="A49" s="9" t="s">
        <v>1445</v>
      </c>
      <c r="B49" s="12">
        <v>2021</v>
      </c>
      <c r="C49" s="13" t="s">
        <v>809</v>
      </c>
      <c r="D49" s="12">
        <v>10</v>
      </c>
      <c r="E49" s="13" t="s">
        <v>1350</v>
      </c>
      <c r="F49" s="12">
        <v>1</v>
      </c>
      <c r="G49" s="12">
        <v>1</v>
      </c>
      <c r="H49" s="12">
        <v>0</v>
      </c>
      <c r="I49" s="12">
        <v>1</v>
      </c>
      <c r="J49" s="12" t="s">
        <v>1582</v>
      </c>
      <c r="K49" s="12">
        <v>1</v>
      </c>
      <c r="L49" s="12">
        <v>1</v>
      </c>
      <c r="M49" s="13" t="s">
        <v>810</v>
      </c>
      <c r="N49" s="9">
        <f t="shared" si="0"/>
        <v>5</v>
      </c>
    </row>
    <row r="50" spans="1:14">
      <c r="A50" s="9" t="s">
        <v>1448</v>
      </c>
      <c r="B50" s="12">
        <v>2022</v>
      </c>
      <c r="C50" s="13" t="s">
        <v>128</v>
      </c>
      <c r="D50" s="12">
        <v>11</v>
      </c>
      <c r="E50" s="13" t="s">
        <v>1451</v>
      </c>
      <c r="F50" s="12">
        <v>1</v>
      </c>
      <c r="G50" s="12">
        <v>1</v>
      </c>
      <c r="H50" s="12">
        <v>1</v>
      </c>
      <c r="I50" s="12">
        <v>1</v>
      </c>
      <c r="J50" s="12" t="s">
        <v>1582</v>
      </c>
      <c r="K50" s="12">
        <v>0</v>
      </c>
      <c r="L50" s="12">
        <v>1</v>
      </c>
      <c r="M50" s="13" t="s">
        <v>129</v>
      </c>
      <c r="N50" s="9">
        <f t="shared" si="0"/>
        <v>5</v>
      </c>
    </row>
    <row r="51" spans="1:14">
      <c r="A51" s="9" t="s">
        <v>1463</v>
      </c>
      <c r="B51" s="12">
        <v>2023</v>
      </c>
      <c r="C51" s="13" t="s">
        <v>622</v>
      </c>
      <c r="D51" s="12">
        <v>3</v>
      </c>
      <c r="E51" s="13" t="s">
        <v>1465</v>
      </c>
      <c r="F51" s="12">
        <v>1</v>
      </c>
      <c r="G51" s="12">
        <v>1</v>
      </c>
      <c r="H51" s="12">
        <v>1</v>
      </c>
      <c r="I51" s="12">
        <v>1</v>
      </c>
      <c r="J51" s="12" t="s">
        <v>1583</v>
      </c>
      <c r="K51" s="12">
        <v>0</v>
      </c>
      <c r="L51" s="12">
        <v>1</v>
      </c>
      <c r="M51" s="13" t="s">
        <v>623</v>
      </c>
      <c r="N51" s="9">
        <f t="shared" si="0"/>
        <v>5</v>
      </c>
    </row>
    <row r="52" spans="1:14">
      <c r="A52" s="9" t="s">
        <v>1476</v>
      </c>
      <c r="B52" s="12">
        <v>2024</v>
      </c>
      <c r="C52" s="13" t="s">
        <v>356</v>
      </c>
      <c r="D52" s="12">
        <v>2</v>
      </c>
      <c r="E52" s="13" t="s">
        <v>1479</v>
      </c>
      <c r="F52" s="12">
        <v>1</v>
      </c>
      <c r="G52" s="12">
        <v>1</v>
      </c>
      <c r="H52" s="12">
        <v>1</v>
      </c>
      <c r="I52" s="12">
        <v>1</v>
      </c>
      <c r="J52" s="12" t="s">
        <v>1582</v>
      </c>
      <c r="K52" s="12">
        <v>0</v>
      </c>
      <c r="L52" s="12">
        <v>1</v>
      </c>
      <c r="M52" s="13" t="s">
        <v>357</v>
      </c>
      <c r="N52" s="9">
        <f t="shared" si="0"/>
        <v>5</v>
      </c>
    </row>
    <row r="53" spans="1:14">
      <c r="A53" s="9" t="s">
        <v>1493</v>
      </c>
      <c r="B53" s="12">
        <v>2024</v>
      </c>
      <c r="C53" s="13" t="s">
        <v>612</v>
      </c>
      <c r="D53" s="12">
        <v>0</v>
      </c>
      <c r="E53" s="13" t="s">
        <v>1496</v>
      </c>
      <c r="F53" s="12">
        <v>1</v>
      </c>
      <c r="G53" s="12">
        <v>1</v>
      </c>
      <c r="H53" s="12">
        <v>1</v>
      </c>
      <c r="I53" s="12">
        <v>1</v>
      </c>
      <c r="J53" s="12" t="s">
        <v>1582</v>
      </c>
      <c r="K53" s="12">
        <v>0</v>
      </c>
      <c r="L53" s="12">
        <v>1</v>
      </c>
      <c r="M53" s="13" t="s">
        <v>613</v>
      </c>
      <c r="N53" s="9">
        <f t="shared" si="0"/>
        <v>5</v>
      </c>
    </row>
    <row r="54" spans="1:14">
      <c r="A54" s="9" t="s">
        <v>1500</v>
      </c>
      <c r="B54" s="12">
        <v>2024</v>
      </c>
      <c r="C54" s="13" t="s">
        <v>358</v>
      </c>
      <c r="D54" s="12">
        <v>0</v>
      </c>
      <c r="E54" s="13" t="s">
        <v>1502</v>
      </c>
      <c r="F54" s="12">
        <v>1</v>
      </c>
      <c r="G54" s="12">
        <v>1</v>
      </c>
      <c r="H54" s="12">
        <v>1</v>
      </c>
      <c r="I54" s="12">
        <v>1</v>
      </c>
      <c r="J54" s="12" t="s">
        <v>1582</v>
      </c>
      <c r="K54" s="12">
        <v>0</v>
      </c>
      <c r="L54" s="12">
        <v>1</v>
      </c>
      <c r="M54" s="13" t="s">
        <v>359</v>
      </c>
      <c r="N54" s="9">
        <f t="shared" si="0"/>
        <v>5</v>
      </c>
    </row>
    <row r="55" spans="1:14">
      <c r="A55" s="9" t="s">
        <v>1516</v>
      </c>
      <c r="B55" s="12">
        <v>2024</v>
      </c>
      <c r="C55" s="13" t="s">
        <v>352</v>
      </c>
      <c r="D55" s="12">
        <v>3</v>
      </c>
      <c r="E55" s="13"/>
      <c r="F55" s="12">
        <v>1</v>
      </c>
      <c r="G55" s="12">
        <v>1</v>
      </c>
      <c r="H55" s="12">
        <v>0</v>
      </c>
      <c r="I55" s="12">
        <v>1</v>
      </c>
      <c r="J55" s="12" t="s">
        <v>1582</v>
      </c>
      <c r="K55" s="12">
        <v>1</v>
      </c>
      <c r="L55" s="12">
        <v>1</v>
      </c>
      <c r="M55" s="13" t="s">
        <v>353</v>
      </c>
      <c r="N55" s="9">
        <f t="shared" si="0"/>
        <v>5</v>
      </c>
    </row>
    <row r="56" spans="1:14">
      <c r="A56" s="9" t="s">
        <v>1520</v>
      </c>
      <c r="B56" s="12">
        <v>2025</v>
      </c>
      <c r="C56" s="13" t="s">
        <v>348</v>
      </c>
      <c r="D56" s="12">
        <v>0</v>
      </c>
      <c r="E56" s="13" t="s">
        <v>1522</v>
      </c>
      <c r="F56" s="12">
        <v>1</v>
      </c>
      <c r="G56" s="12">
        <v>1</v>
      </c>
      <c r="H56" s="12">
        <v>0</v>
      </c>
      <c r="I56" s="12">
        <v>1</v>
      </c>
      <c r="J56" s="12" t="s">
        <v>1582</v>
      </c>
      <c r="K56" s="12">
        <v>1</v>
      </c>
      <c r="L56" s="12">
        <v>1</v>
      </c>
      <c r="M56" s="13" t="s">
        <v>349</v>
      </c>
      <c r="N56" s="9">
        <f t="shared" si="0"/>
        <v>5</v>
      </c>
    </row>
    <row r="57" spans="1:14">
      <c r="A57" s="9" t="s">
        <v>962</v>
      </c>
      <c r="B57" s="12">
        <v>2010</v>
      </c>
      <c r="C57" s="13" t="s">
        <v>638</v>
      </c>
      <c r="D57" s="12">
        <v>30</v>
      </c>
      <c r="E57" s="13" t="s">
        <v>967</v>
      </c>
      <c r="F57" s="12">
        <v>1</v>
      </c>
      <c r="G57" s="12">
        <v>1</v>
      </c>
      <c r="H57" s="12">
        <v>1</v>
      </c>
      <c r="I57" s="12">
        <v>1</v>
      </c>
      <c r="J57" s="12" t="s">
        <v>1582</v>
      </c>
      <c r="K57" s="12">
        <v>0</v>
      </c>
      <c r="L57" s="12">
        <v>0.5</v>
      </c>
      <c r="M57" s="13" t="s">
        <v>639</v>
      </c>
      <c r="N57" s="9">
        <f t="shared" si="0"/>
        <v>4.5</v>
      </c>
    </row>
    <row r="58" spans="1:14">
      <c r="A58" s="9" t="s">
        <v>993</v>
      </c>
      <c r="B58" s="12">
        <v>2010</v>
      </c>
      <c r="C58" s="13" t="s">
        <v>801</v>
      </c>
      <c r="D58" s="12">
        <v>39</v>
      </c>
      <c r="E58" s="13" t="s">
        <v>995</v>
      </c>
      <c r="F58" s="12">
        <v>1</v>
      </c>
      <c r="G58" s="12">
        <v>1</v>
      </c>
      <c r="H58" s="12">
        <v>0.5</v>
      </c>
      <c r="I58" s="12">
        <v>1</v>
      </c>
      <c r="J58" s="12" t="s">
        <v>1582</v>
      </c>
      <c r="K58" s="12">
        <v>0</v>
      </c>
      <c r="L58" s="12">
        <v>1</v>
      </c>
      <c r="M58" s="13" t="s">
        <v>802</v>
      </c>
      <c r="N58" s="9">
        <f t="shared" si="0"/>
        <v>4.5</v>
      </c>
    </row>
    <row r="59" spans="1:14">
      <c r="A59" s="9" t="s">
        <v>1278</v>
      </c>
      <c r="B59" s="12">
        <v>2017</v>
      </c>
      <c r="C59" s="13" t="s">
        <v>677</v>
      </c>
      <c r="D59" s="12">
        <v>3</v>
      </c>
      <c r="E59" s="13" t="s">
        <v>1281</v>
      </c>
      <c r="F59" s="12">
        <v>1</v>
      </c>
      <c r="G59" s="12">
        <v>1</v>
      </c>
      <c r="H59" s="12">
        <v>0.5</v>
      </c>
      <c r="I59" s="12">
        <v>1</v>
      </c>
      <c r="J59" s="12" t="s">
        <v>1582</v>
      </c>
      <c r="K59" s="12">
        <v>0</v>
      </c>
      <c r="L59" s="12">
        <v>1</v>
      </c>
      <c r="M59" s="13" t="s">
        <v>678</v>
      </c>
      <c r="N59" s="9">
        <f t="shared" si="0"/>
        <v>4.5</v>
      </c>
    </row>
    <row r="60" spans="1:14">
      <c r="A60" s="9" t="s">
        <v>940</v>
      </c>
      <c r="B60" s="12">
        <v>2010</v>
      </c>
      <c r="C60" s="13" t="s">
        <v>66</v>
      </c>
      <c r="D60" s="12">
        <v>61</v>
      </c>
      <c r="E60" s="13" t="s">
        <v>945</v>
      </c>
      <c r="F60" s="12">
        <v>1</v>
      </c>
      <c r="G60" s="12">
        <v>1</v>
      </c>
      <c r="H60" s="12">
        <v>1</v>
      </c>
      <c r="I60" s="12">
        <v>0</v>
      </c>
      <c r="K60" s="12">
        <v>0</v>
      </c>
      <c r="L60" s="12">
        <v>1</v>
      </c>
      <c r="M60" s="13" t="s">
        <v>67</v>
      </c>
      <c r="N60" s="9">
        <f t="shared" si="0"/>
        <v>4</v>
      </c>
    </row>
    <row r="61" spans="1:14">
      <c r="A61" s="9" t="s">
        <v>955</v>
      </c>
      <c r="B61" s="12">
        <v>2010</v>
      </c>
      <c r="C61" s="13" t="s">
        <v>124</v>
      </c>
      <c r="D61" s="12">
        <v>321</v>
      </c>
      <c r="E61" s="13"/>
      <c r="F61" s="12">
        <v>1</v>
      </c>
      <c r="G61" s="12">
        <v>1</v>
      </c>
      <c r="H61" s="12">
        <v>1</v>
      </c>
      <c r="I61" s="12">
        <v>0</v>
      </c>
      <c r="K61" s="12">
        <v>0</v>
      </c>
      <c r="L61" s="12">
        <v>1</v>
      </c>
      <c r="M61" s="13" t="s">
        <v>125</v>
      </c>
      <c r="N61" s="9">
        <f t="shared" si="0"/>
        <v>4</v>
      </c>
    </row>
    <row r="62" spans="1:14">
      <c r="A62" s="9" t="s">
        <v>971</v>
      </c>
      <c r="B62" s="12">
        <v>2010</v>
      </c>
      <c r="C62" s="13" t="s">
        <v>314</v>
      </c>
      <c r="D62" s="12">
        <v>20</v>
      </c>
      <c r="E62" s="13" t="s">
        <v>977</v>
      </c>
      <c r="F62" s="12">
        <v>1</v>
      </c>
      <c r="G62" s="12">
        <v>1</v>
      </c>
      <c r="H62" s="12">
        <v>1</v>
      </c>
      <c r="I62" s="12">
        <v>1</v>
      </c>
      <c r="J62" s="12" t="s">
        <v>1583</v>
      </c>
      <c r="K62" s="12">
        <v>0</v>
      </c>
      <c r="L62" s="12">
        <v>0</v>
      </c>
      <c r="M62" s="13" t="s">
        <v>315</v>
      </c>
      <c r="N62" s="9">
        <f t="shared" si="0"/>
        <v>4</v>
      </c>
    </row>
    <row r="63" spans="1:14">
      <c r="A63" s="9" t="s">
        <v>985</v>
      </c>
      <c r="B63" s="12">
        <v>2010</v>
      </c>
      <c r="C63" s="13" t="s">
        <v>566</v>
      </c>
      <c r="D63" s="12">
        <v>15</v>
      </c>
      <c r="E63" s="13" t="s">
        <v>990</v>
      </c>
      <c r="F63" s="12">
        <v>1</v>
      </c>
      <c r="G63" s="12">
        <v>1</v>
      </c>
      <c r="H63" s="12">
        <v>1</v>
      </c>
      <c r="I63" s="12">
        <v>1</v>
      </c>
      <c r="J63" s="12" t="s">
        <v>1582</v>
      </c>
      <c r="K63" s="12">
        <v>0</v>
      </c>
      <c r="L63" s="12">
        <v>0</v>
      </c>
      <c r="M63" s="13" t="s">
        <v>567</v>
      </c>
      <c r="N63" s="9">
        <f t="shared" si="0"/>
        <v>4</v>
      </c>
    </row>
    <row r="64" spans="1:14">
      <c r="A64" s="9" t="s">
        <v>1044</v>
      </c>
      <c r="B64" s="15">
        <v>2011</v>
      </c>
      <c r="C64" s="16" t="s">
        <v>798</v>
      </c>
      <c r="D64" s="15">
        <v>40</v>
      </c>
      <c r="E64" s="16" t="s">
        <v>1049</v>
      </c>
      <c r="F64" s="15">
        <v>1</v>
      </c>
      <c r="G64" s="15">
        <v>1</v>
      </c>
      <c r="H64" s="15">
        <v>0</v>
      </c>
      <c r="I64" s="15">
        <v>1</v>
      </c>
      <c r="J64" s="15" t="s">
        <v>1583</v>
      </c>
      <c r="K64" s="15">
        <v>0</v>
      </c>
      <c r="L64" s="15">
        <v>1</v>
      </c>
      <c r="M64" s="16" t="s">
        <v>799</v>
      </c>
      <c r="N64" s="9">
        <f t="shared" si="0"/>
        <v>4</v>
      </c>
    </row>
    <row r="65" spans="1:14">
      <c r="A65" s="9" t="s">
        <v>1056</v>
      </c>
      <c r="B65" s="12">
        <v>2012</v>
      </c>
      <c r="C65" s="13" t="s">
        <v>668</v>
      </c>
      <c r="D65" s="12">
        <v>48</v>
      </c>
      <c r="E65" s="13" t="s">
        <v>1058</v>
      </c>
      <c r="F65" s="12">
        <v>1</v>
      </c>
      <c r="G65" s="12">
        <v>1</v>
      </c>
      <c r="H65" s="12">
        <v>0</v>
      </c>
      <c r="I65" s="12">
        <v>1</v>
      </c>
      <c r="J65" s="12" t="s">
        <v>1584</v>
      </c>
      <c r="K65" s="12">
        <v>0</v>
      </c>
      <c r="L65" s="12">
        <v>1</v>
      </c>
      <c r="M65" s="13" t="s">
        <v>669</v>
      </c>
      <c r="N65" s="9">
        <f t="shared" si="0"/>
        <v>4</v>
      </c>
    </row>
    <row r="66" spans="1:14">
      <c r="A66" s="9" t="s">
        <v>1073</v>
      </c>
      <c r="B66" s="12">
        <v>2012</v>
      </c>
      <c r="C66" s="13" t="s">
        <v>620</v>
      </c>
      <c r="D66" s="12">
        <v>1</v>
      </c>
      <c r="E66" s="13" t="s">
        <v>1076</v>
      </c>
      <c r="F66" s="12">
        <v>1</v>
      </c>
      <c r="G66" s="12">
        <v>1</v>
      </c>
      <c r="H66" s="12">
        <v>1</v>
      </c>
      <c r="I66" s="12">
        <v>0</v>
      </c>
      <c r="K66" s="12">
        <v>0</v>
      </c>
      <c r="L66" s="12">
        <v>1</v>
      </c>
      <c r="M66" s="13" t="s">
        <v>621</v>
      </c>
      <c r="N66" s="9">
        <f t="shared" ref="N66:N110" si="1">SUM(F66,G66,H66,I66,K66,L66)</f>
        <v>4</v>
      </c>
    </row>
    <row r="67" spans="1:14">
      <c r="A67" s="9" t="s">
        <v>1079</v>
      </c>
      <c r="B67" s="12">
        <v>2012</v>
      </c>
      <c r="C67" s="13" t="s">
        <v>76</v>
      </c>
      <c r="D67" s="12">
        <v>42</v>
      </c>
      <c r="E67" s="13" t="s">
        <v>1083</v>
      </c>
      <c r="F67" s="12">
        <v>1</v>
      </c>
      <c r="G67" s="12">
        <v>1</v>
      </c>
      <c r="H67" s="12">
        <v>0</v>
      </c>
      <c r="I67" s="12">
        <v>0</v>
      </c>
      <c r="K67" s="12">
        <v>1</v>
      </c>
      <c r="L67" s="12">
        <v>1</v>
      </c>
      <c r="M67" s="13" t="s">
        <v>77</v>
      </c>
      <c r="N67" s="9">
        <f t="shared" si="1"/>
        <v>4</v>
      </c>
    </row>
    <row r="68" spans="1:14">
      <c r="A68" s="9" t="s">
        <v>1095</v>
      </c>
      <c r="B68" s="12">
        <v>2012</v>
      </c>
      <c r="C68" s="13" t="s">
        <v>191</v>
      </c>
      <c r="D68" s="12">
        <v>10</v>
      </c>
      <c r="E68" s="13" t="s">
        <v>1097</v>
      </c>
      <c r="F68" s="12">
        <v>1</v>
      </c>
      <c r="G68" s="12">
        <v>1</v>
      </c>
      <c r="H68" s="12">
        <v>1</v>
      </c>
      <c r="I68" s="12">
        <v>0</v>
      </c>
      <c r="K68" s="12">
        <v>0</v>
      </c>
      <c r="L68" s="12">
        <v>1</v>
      </c>
      <c r="M68" s="13" t="s">
        <v>192</v>
      </c>
      <c r="N68" s="9">
        <f t="shared" si="1"/>
        <v>4</v>
      </c>
    </row>
    <row r="69" spans="1:14">
      <c r="A69" s="9" t="s">
        <v>1112</v>
      </c>
      <c r="B69" s="12">
        <v>2012</v>
      </c>
      <c r="C69" s="13" t="s">
        <v>336</v>
      </c>
      <c r="D69" s="12">
        <v>53</v>
      </c>
      <c r="E69" s="13" t="s">
        <v>1114</v>
      </c>
      <c r="F69" s="12">
        <v>1</v>
      </c>
      <c r="G69" s="12">
        <v>1</v>
      </c>
      <c r="H69" s="12">
        <v>0</v>
      </c>
      <c r="I69" s="12">
        <v>1</v>
      </c>
      <c r="J69" s="12" t="s">
        <v>1583</v>
      </c>
      <c r="K69" s="12">
        <v>0</v>
      </c>
      <c r="L69" s="12">
        <v>1</v>
      </c>
      <c r="M69" s="13" t="s">
        <v>337</v>
      </c>
      <c r="N69" s="9">
        <f t="shared" si="1"/>
        <v>4</v>
      </c>
    </row>
    <row r="70" spans="1:14">
      <c r="A70" s="9" t="s">
        <v>1130</v>
      </c>
      <c r="B70" s="12">
        <v>2013</v>
      </c>
      <c r="C70" s="13" t="s">
        <v>681</v>
      </c>
      <c r="D70" s="12">
        <v>12</v>
      </c>
      <c r="E70" s="13" t="s">
        <v>1134</v>
      </c>
      <c r="F70" s="12">
        <v>1</v>
      </c>
      <c r="G70" s="12">
        <v>1</v>
      </c>
      <c r="H70" s="12">
        <v>0</v>
      </c>
      <c r="I70" s="12">
        <v>1</v>
      </c>
      <c r="J70" s="12" t="s">
        <v>1583</v>
      </c>
      <c r="K70" s="12">
        <v>0</v>
      </c>
      <c r="L70" s="12">
        <v>1</v>
      </c>
      <c r="M70" s="13" t="s">
        <v>682</v>
      </c>
      <c r="N70" s="9">
        <f t="shared" si="1"/>
        <v>4</v>
      </c>
    </row>
    <row r="71" spans="1:14">
      <c r="A71" s="9" t="s">
        <v>1147</v>
      </c>
      <c r="B71" s="12">
        <v>2013</v>
      </c>
      <c r="C71" s="13" t="s">
        <v>370</v>
      </c>
      <c r="D71" s="12">
        <v>62</v>
      </c>
      <c r="E71" s="13" t="s">
        <v>1150</v>
      </c>
      <c r="F71" s="12">
        <v>1</v>
      </c>
      <c r="G71" s="12">
        <v>1</v>
      </c>
      <c r="H71" s="12">
        <v>0</v>
      </c>
      <c r="I71" s="12">
        <v>1</v>
      </c>
      <c r="J71" s="12" t="s">
        <v>1583</v>
      </c>
      <c r="K71" s="12">
        <v>0</v>
      </c>
      <c r="L71" s="12">
        <v>1</v>
      </c>
      <c r="M71" s="13" t="s">
        <v>371</v>
      </c>
      <c r="N71" s="9">
        <f t="shared" si="1"/>
        <v>4</v>
      </c>
    </row>
    <row r="72" spans="1:14">
      <c r="A72" s="9" t="s">
        <v>1163</v>
      </c>
      <c r="B72" s="12">
        <v>2014</v>
      </c>
      <c r="C72" s="13" t="s">
        <v>78</v>
      </c>
      <c r="D72" s="12">
        <v>30</v>
      </c>
      <c r="E72" s="13" t="s">
        <v>982</v>
      </c>
      <c r="F72" s="12">
        <v>1</v>
      </c>
      <c r="G72" s="12">
        <v>1</v>
      </c>
      <c r="H72" s="12">
        <v>0</v>
      </c>
      <c r="I72" s="12">
        <v>1</v>
      </c>
      <c r="J72" s="12" t="s">
        <v>1582</v>
      </c>
      <c r="K72" s="12">
        <v>0</v>
      </c>
      <c r="L72" s="12">
        <v>1</v>
      </c>
      <c r="M72" s="13" t="s">
        <v>79</v>
      </c>
      <c r="N72" s="9">
        <f t="shared" si="1"/>
        <v>4</v>
      </c>
    </row>
    <row r="73" spans="1:14">
      <c r="A73" s="9" t="s">
        <v>1173</v>
      </c>
      <c r="B73" s="12">
        <v>2014</v>
      </c>
      <c r="C73" s="13" t="s">
        <v>803</v>
      </c>
      <c r="D73" s="12">
        <v>20</v>
      </c>
      <c r="E73" s="13" t="s">
        <v>910</v>
      </c>
      <c r="F73" s="12">
        <v>1</v>
      </c>
      <c r="G73" s="12">
        <v>1</v>
      </c>
      <c r="H73" s="12">
        <v>0</v>
      </c>
      <c r="I73" s="12">
        <v>1</v>
      </c>
      <c r="J73" s="12" t="s">
        <v>1583</v>
      </c>
      <c r="K73" s="12">
        <v>0</v>
      </c>
      <c r="L73" s="12">
        <v>1</v>
      </c>
      <c r="M73" s="13" t="s">
        <v>804</v>
      </c>
      <c r="N73" s="9">
        <f t="shared" si="1"/>
        <v>4</v>
      </c>
    </row>
    <row r="74" spans="1:14">
      <c r="A74" s="9" t="s">
        <v>1209</v>
      </c>
      <c r="B74" s="12">
        <v>2015</v>
      </c>
      <c r="C74" s="13" t="s">
        <v>409</v>
      </c>
      <c r="D74" s="12">
        <v>17</v>
      </c>
      <c r="E74" s="13"/>
      <c r="F74" s="12">
        <v>1</v>
      </c>
      <c r="G74" s="12">
        <v>1</v>
      </c>
      <c r="H74" s="12">
        <v>0</v>
      </c>
      <c r="I74" s="12">
        <v>1</v>
      </c>
      <c r="J74" s="12" t="s">
        <v>1584</v>
      </c>
      <c r="K74" s="12">
        <v>0</v>
      </c>
      <c r="L74" s="12">
        <v>1</v>
      </c>
      <c r="M74" s="13" t="s">
        <v>410</v>
      </c>
      <c r="N74" s="9">
        <f t="shared" si="1"/>
        <v>4</v>
      </c>
    </row>
    <row r="75" spans="1:14">
      <c r="A75" s="9" t="s">
        <v>1294</v>
      </c>
      <c r="B75" s="12">
        <v>2017</v>
      </c>
      <c r="C75" s="13" t="s">
        <v>673</v>
      </c>
      <c r="D75" s="12">
        <v>20</v>
      </c>
      <c r="E75" s="13"/>
      <c r="F75" s="12">
        <v>1</v>
      </c>
      <c r="G75" s="12">
        <v>1</v>
      </c>
      <c r="H75" s="12">
        <v>1</v>
      </c>
      <c r="I75" s="12">
        <v>1</v>
      </c>
      <c r="J75" s="12" t="s">
        <v>1582</v>
      </c>
      <c r="K75" s="12">
        <v>0</v>
      </c>
      <c r="L75" s="12">
        <v>0</v>
      </c>
      <c r="M75" s="13" t="s">
        <v>674</v>
      </c>
      <c r="N75" s="9">
        <f t="shared" si="1"/>
        <v>4</v>
      </c>
    </row>
    <row r="76" spans="1:14">
      <c r="A76" s="9" t="s">
        <v>1303</v>
      </c>
      <c r="B76" s="12">
        <v>2017</v>
      </c>
      <c r="C76" s="13" t="s">
        <v>372</v>
      </c>
      <c r="D76" s="12">
        <v>23</v>
      </c>
      <c r="E76" s="13" t="s">
        <v>1251</v>
      </c>
      <c r="F76" s="12">
        <v>1</v>
      </c>
      <c r="G76" s="12">
        <v>1</v>
      </c>
      <c r="H76" s="12">
        <v>1</v>
      </c>
      <c r="I76" s="12">
        <v>1</v>
      </c>
      <c r="J76" s="12" t="s">
        <v>1582</v>
      </c>
      <c r="K76" s="12">
        <v>0</v>
      </c>
      <c r="L76" s="12">
        <v>0</v>
      </c>
      <c r="M76" s="13" t="s">
        <v>373</v>
      </c>
      <c r="N76" s="9">
        <f t="shared" si="1"/>
        <v>4</v>
      </c>
    </row>
    <row r="77" spans="1:14">
      <c r="A77" s="9" t="s">
        <v>1308</v>
      </c>
      <c r="B77" s="12">
        <v>2017</v>
      </c>
      <c r="C77" s="13" t="s">
        <v>163</v>
      </c>
      <c r="D77" s="12">
        <v>12</v>
      </c>
      <c r="E77" s="13" t="s">
        <v>1312</v>
      </c>
      <c r="F77" s="12">
        <v>1</v>
      </c>
      <c r="G77" s="12">
        <v>1</v>
      </c>
      <c r="H77" s="12">
        <v>1</v>
      </c>
      <c r="I77" s="12">
        <v>0</v>
      </c>
      <c r="K77" s="12">
        <v>0</v>
      </c>
      <c r="L77" s="12">
        <v>1</v>
      </c>
      <c r="M77" s="13" t="s">
        <v>164</v>
      </c>
      <c r="N77" s="9">
        <f t="shared" si="1"/>
        <v>4</v>
      </c>
    </row>
    <row r="78" spans="1:14">
      <c r="A78" s="9" t="s">
        <v>1340</v>
      </c>
      <c r="B78" s="12">
        <v>2018</v>
      </c>
      <c r="C78" s="13" t="s">
        <v>26</v>
      </c>
      <c r="D78" s="12">
        <v>38</v>
      </c>
      <c r="E78" s="13" t="s">
        <v>910</v>
      </c>
      <c r="F78" s="12">
        <v>1</v>
      </c>
      <c r="G78" s="12">
        <v>1</v>
      </c>
      <c r="H78" s="12">
        <v>1</v>
      </c>
      <c r="I78" s="12">
        <v>1</v>
      </c>
      <c r="J78" s="12" t="s">
        <v>1582</v>
      </c>
      <c r="K78" s="12">
        <v>0</v>
      </c>
      <c r="L78" s="12">
        <v>0</v>
      </c>
      <c r="M78" s="13" t="s">
        <v>27</v>
      </c>
      <c r="N78" s="9">
        <f t="shared" si="1"/>
        <v>4</v>
      </c>
    </row>
    <row r="79" spans="1:14">
      <c r="A79" s="9" t="s">
        <v>1347</v>
      </c>
      <c r="B79" s="12">
        <v>2019</v>
      </c>
      <c r="C79" s="13" t="s">
        <v>376</v>
      </c>
      <c r="D79" s="12">
        <v>36</v>
      </c>
      <c r="E79" s="13" t="s">
        <v>1350</v>
      </c>
      <c r="F79" s="12">
        <v>1</v>
      </c>
      <c r="G79" s="12">
        <v>1</v>
      </c>
      <c r="H79" s="12">
        <v>0</v>
      </c>
      <c r="I79" s="12">
        <v>1</v>
      </c>
      <c r="J79" s="12" t="s">
        <v>1582</v>
      </c>
      <c r="K79" s="12">
        <v>0</v>
      </c>
      <c r="L79" s="12">
        <v>1</v>
      </c>
      <c r="M79" s="13" t="s">
        <v>377</v>
      </c>
      <c r="N79" s="9">
        <f t="shared" si="1"/>
        <v>4</v>
      </c>
    </row>
    <row r="80" spans="1:14">
      <c r="A80" s="9" t="s">
        <v>1387</v>
      </c>
      <c r="B80" s="12">
        <v>2019</v>
      </c>
      <c r="C80" s="13" t="s">
        <v>126</v>
      </c>
      <c r="D80" s="12">
        <v>16</v>
      </c>
      <c r="E80" s="13" t="s">
        <v>1390</v>
      </c>
      <c r="F80" s="12">
        <v>1</v>
      </c>
      <c r="G80" s="12">
        <v>1</v>
      </c>
      <c r="H80" s="12">
        <v>1</v>
      </c>
      <c r="I80" s="12">
        <v>0</v>
      </c>
      <c r="K80" s="12">
        <v>0</v>
      </c>
      <c r="L80" s="12">
        <v>1</v>
      </c>
      <c r="M80" s="13" t="s">
        <v>127</v>
      </c>
      <c r="N80" s="9">
        <f t="shared" si="1"/>
        <v>4</v>
      </c>
    </row>
    <row r="81" spans="1:14">
      <c r="A81" s="9" t="s">
        <v>1392</v>
      </c>
      <c r="B81" s="12">
        <v>2019</v>
      </c>
      <c r="C81" s="13" t="s">
        <v>813</v>
      </c>
      <c r="D81" s="12">
        <v>50</v>
      </c>
      <c r="E81" s="13" t="s">
        <v>910</v>
      </c>
      <c r="F81" s="12">
        <v>1</v>
      </c>
      <c r="G81" s="12">
        <v>1</v>
      </c>
      <c r="H81" s="12">
        <v>1</v>
      </c>
      <c r="I81" s="12">
        <v>1</v>
      </c>
      <c r="J81" s="12" t="s">
        <v>1582</v>
      </c>
      <c r="K81" s="12">
        <v>0</v>
      </c>
      <c r="L81" s="12">
        <v>0</v>
      </c>
      <c r="M81" s="13" t="s">
        <v>814</v>
      </c>
      <c r="N81" s="9">
        <f t="shared" si="1"/>
        <v>4</v>
      </c>
    </row>
    <row r="82" spans="1:14">
      <c r="A82" s="9" t="s">
        <v>1400</v>
      </c>
      <c r="B82" s="12">
        <v>2019</v>
      </c>
      <c r="C82" s="13" t="s">
        <v>572</v>
      </c>
      <c r="D82" s="12">
        <v>32</v>
      </c>
      <c r="E82" s="13" t="s">
        <v>1197</v>
      </c>
      <c r="F82" s="12">
        <v>1</v>
      </c>
      <c r="G82" s="12">
        <v>1</v>
      </c>
      <c r="H82" s="12">
        <v>0</v>
      </c>
      <c r="I82" s="12">
        <v>1</v>
      </c>
      <c r="J82" s="12" t="s">
        <v>1582</v>
      </c>
      <c r="K82" s="12">
        <v>0</v>
      </c>
      <c r="L82" s="12">
        <v>1</v>
      </c>
      <c r="M82" s="13" t="s">
        <v>573</v>
      </c>
      <c r="N82" s="9">
        <f t="shared" si="1"/>
        <v>4</v>
      </c>
    </row>
    <row r="83" spans="1:14">
      <c r="A83" s="9" t="s">
        <v>1409</v>
      </c>
      <c r="B83" s="12">
        <v>2020</v>
      </c>
      <c r="C83" s="13" t="s">
        <v>634</v>
      </c>
      <c r="D83" s="12">
        <v>5</v>
      </c>
      <c r="E83" s="13" t="s">
        <v>1412</v>
      </c>
      <c r="F83" s="12">
        <v>1</v>
      </c>
      <c r="G83" s="12">
        <v>1</v>
      </c>
      <c r="H83" s="12">
        <v>1</v>
      </c>
      <c r="I83" s="12">
        <v>1</v>
      </c>
      <c r="J83" s="12" t="s">
        <v>1582</v>
      </c>
      <c r="K83" s="12">
        <v>0</v>
      </c>
      <c r="L83" s="12">
        <v>0</v>
      </c>
      <c r="M83" s="13" t="s">
        <v>635</v>
      </c>
      <c r="N83" s="9">
        <f t="shared" si="1"/>
        <v>4</v>
      </c>
    </row>
    <row r="84" spans="1:14">
      <c r="A84" s="9" t="s">
        <v>1432</v>
      </c>
      <c r="B84" s="12">
        <v>2021</v>
      </c>
      <c r="C84" s="13" t="s">
        <v>843</v>
      </c>
      <c r="D84" s="12">
        <v>6</v>
      </c>
      <c r="E84" s="13" t="s">
        <v>1436</v>
      </c>
      <c r="F84" s="12">
        <v>1</v>
      </c>
      <c r="G84" s="12">
        <v>1</v>
      </c>
      <c r="H84" s="12">
        <v>0</v>
      </c>
      <c r="I84" s="12">
        <v>1</v>
      </c>
      <c r="J84" s="12" t="s">
        <v>1582</v>
      </c>
      <c r="K84" s="12">
        <v>0</v>
      </c>
      <c r="L84" s="12">
        <v>1</v>
      </c>
      <c r="M84" s="13" t="s">
        <v>844</v>
      </c>
      <c r="N84" s="9">
        <f t="shared" si="1"/>
        <v>4</v>
      </c>
    </row>
    <row r="85" spans="1:14">
      <c r="A85" s="9" t="s">
        <v>1439</v>
      </c>
      <c r="B85" s="12">
        <v>2021</v>
      </c>
      <c r="C85" s="13" t="s">
        <v>855</v>
      </c>
      <c r="D85" s="12">
        <v>13</v>
      </c>
      <c r="E85" s="13" t="s">
        <v>1442</v>
      </c>
      <c r="F85" s="12">
        <v>1</v>
      </c>
      <c r="G85" s="12">
        <v>1</v>
      </c>
      <c r="H85" s="12">
        <v>1</v>
      </c>
      <c r="I85" s="12">
        <v>0</v>
      </c>
      <c r="K85" s="12">
        <v>0</v>
      </c>
      <c r="L85" s="12">
        <v>1</v>
      </c>
      <c r="M85" s="13" t="s">
        <v>856</v>
      </c>
      <c r="N85" s="9">
        <f t="shared" si="1"/>
        <v>4</v>
      </c>
    </row>
    <row r="86" spans="1:14">
      <c r="A86" s="9" t="s">
        <v>1453</v>
      </c>
      <c r="B86" s="12">
        <v>2022</v>
      </c>
      <c r="C86" s="13" t="s">
        <v>385</v>
      </c>
      <c r="D86" s="12">
        <v>7</v>
      </c>
      <c r="E86" s="13" t="s">
        <v>977</v>
      </c>
      <c r="F86" s="12">
        <v>1</v>
      </c>
      <c r="G86" s="12">
        <v>1</v>
      </c>
      <c r="H86" s="12">
        <v>0</v>
      </c>
      <c r="I86" s="12">
        <v>1</v>
      </c>
      <c r="J86" s="12" t="s">
        <v>1582</v>
      </c>
      <c r="K86" s="12">
        <v>0</v>
      </c>
      <c r="L86" s="12">
        <v>1</v>
      </c>
      <c r="M86" s="13" t="s">
        <v>386</v>
      </c>
      <c r="N86" s="9">
        <f t="shared" si="1"/>
        <v>4</v>
      </c>
    </row>
    <row r="87" spans="1:14">
      <c r="A87" s="9" t="s">
        <v>1468</v>
      </c>
      <c r="B87" s="12">
        <v>2023</v>
      </c>
      <c r="C87" s="13" t="s">
        <v>389</v>
      </c>
      <c r="D87" s="12">
        <v>15</v>
      </c>
      <c r="E87" s="13"/>
      <c r="F87" s="12">
        <v>1</v>
      </c>
      <c r="G87" s="12">
        <v>1</v>
      </c>
      <c r="H87" s="12">
        <v>0</v>
      </c>
      <c r="I87" s="12">
        <v>1</v>
      </c>
      <c r="J87" s="12" t="s">
        <v>1582</v>
      </c>
      <c r="K87" s="12">
        <v>0</v>
      </c>
      <c r="L87" s="12">
        <v>1</v>
      </c>
      <c r="M87" s="13" t="s">
        <v>390</v>
      </c>
      <c r="N87" s="9">
        <f t="shared" si="1"/>
        <v>4</v>
      </c>
    </row>
    <row r="88" spans="1:14">
      <c r="A88" s="9" t="s">
        <v>1483</v>
      </c>
      <c r="B88" s="12">
        <v>2024</v>
      </c>
      <c r="C88" s="13" t="s">
        <v>366</v>
      </c>
      <c r="D88" s="12">
        <v>0</v>
      </c>
      <c r="E88" s="13"/>
      <c r="F88" s="12">
        <v>1</v>
      </c>
      <c r="G88" s="12">
        <v>1</v>
      </c>
      <c r="H88" s="12">
        <v>0</v>
      </c>
      <c r="I88" s="12">
        <v>1</v>
      </c>
      <c r="J88" s="12" t="s">
        <v>1584</v>
      </c>
      <c r="K88" s="12">
        <v>0</v>
      </c>
      <c r="L88" s="12">
        <v>1</v>
      </c>
      <c r="M88" s="13" t="s">
        <v>367</v>
      </c>
      <c r="N88" s="9">
        <f t="shared" si="1"/>
        <v>4</v>
      </c>
    </row>
    <row r="89" spans="1:14">
      <c r="A89" s="9" t="s">
        <v>1488</v>
      </c>
      <c r="B89" s="12">
        <v>2024</v>
      </c>
      <c r="C89" s="13" t="s">
        <v>562</v>
      </c>
      <c r="D89" s="12">
        <v>0</v>
      </c>
      <c r="E89" s="13"/>
      <c r="F89" s="12">
        <v>1</v>
      </c>
      <c r="G89" s="12">
        <v>1</v>
      </c>
      <c r="H89" s="12">
        <v>0</v>
      </c>
      <c r="I89" s="12">
        <v>1</v>
      </c>
      <c r="J89" s="12" t="s">
        <v>1582</v>
      </c>
      <c r="K89" s="12">
        <v>0</v>
      </c>
      <c r="L89" s="12">
        <v>1</v>
      </c>
      <c r="M89" s="13" t="s">
        <v>563</v>
      </c>
      <c r="N89" s="9">
        <f t="shared" si="1"/>
        <v>4</v>
      </c>
    </row>
    <row r="90" spans="1:14">
      <c r="A90" s="9" t="s">
        <v>1505</v>
      </c>
      <c r="B90" s="12">
        <v>2024</v>
      </c>
      <c r="C90" s="13" t="s">
        <v>411</v>
      </c>
      <c r="D90" s="12">
        <v>3</v>
      </c>
      <c r="E90" s="13" t="s">
        <v>1508</v>
      </c>
      <c r="F90" s="12">
        <v>1</v>
      </c>
      <c r="G90" s="12">
        <v>1</v>
      </c>
      <c r="H90" s="12">
        <v>1</v>
      </c>
      <c r="I90" s="12">
        <v>1</v>
      </c>
      <c r="J90" s="12" t="s">
        <v>1582</v>
      </c>
      <c r="K90" s="12">
        <v>0</v>
      </c>
      <c r="L90" s="12">
        <v>0</v>
      </c>
      <c r="M90" s="13" t="s">
        <v>412</v>
      </c>
      <c r="N90" s="9">
        <f t="shared" si="1"/>
        <v>4</v>
      </c>
    </row>
    <row r="91" spans="1:14">
      <c r="A91" s="9" t="s">
        <v>1510</v>
      </c>
      <c r="B91" s="12">
        <v>2024</v>
      </c>
      <c r="C91" s="13" t="s">
        <v>93</v>
      </c>
      <c r="D91" s="12">
        <v>0</v>
      </c>
      <c r="E91" s="13" t="s">
        <v>1513</v>
      </c>
      <c r="F91" s="12">
        <v>1</v>
      </c>
      <c r="G91" s="12">
        <v>1</v>
      </c>
      <c r="H91" s="12">
        <v>0</v>
      </c>
      <c r="I91" s="12">
        <v>1</v>
      </c>
      <c r="J91" s="12" t="s">
        <v>1583</v>
      </c>
      <c r="K91" s="12">
        <v>0</v>
      </c>
      <c r="L91" s="12">
        <v>1</v>
      </c>
      <c r="M91" s="13" t="s">
        <v>94</v>
      </c>
      <c r="N91" s="9">
        <f t="shared" si="1"/>
        <v>4</v>
      </c>
    </row>
    <row r="92" spans="1:14">
      <c r="A92" s="9" t="s">
        <v>1021</v>
      </c>
      <c r="B92" s="12">
        <v>2011</v>
      </c>
      <c r="C92" s="13" t="s">
        <v>632</v>
      </c>
      <c r="D92" s="12">
        <v>18</v>
      </c>
      <c r="E92" s="13" t="s">
        <v>1024</v>
      </c>
      <c r="F92" s="12">
        <v>1</v>
      </c>
      <c r="G92" s="12">
        <v>1</v>
      </c>
      <c r="H92" s="12">
        <v>0</v>
      </c>
      <c r="I92" s="12">
        <v>0</v>
      </c>
      <c r="K92" s="12">
        <v>1</v>
      </c>
      <c r="L92" s="12">
        <v>0.5</v>
      </c>
      <c r="M92" s="13" t="s">
        <v>633</v>
      </c>
      <c r="N92" s="9">
        <f t="shared" si="1"/>
        <v>3.5</v>
      </c>
    </row>
    <row r="93" spans="1:14">
      <c r="A93" s="9" t="s">
        <v>1368</v>
      </c>
      <c r="B93" s="12">
        <v>2019</v>
      </c>
      <c r="C93" s="13" t="s">
        <v>413</v>
      </c>
      <c r="D93" s="12">
        <v>13</v>
      </c>
      <c r="E93" s="13" t="s">
        <v>1371</v>
      </c>
      <c r="F93" s="12">
        <v>1</v>
      </c>
      <c r="G93" s="12">
        <v>1</v>
      </c>
      <c r="H93" s="12">
        <v>0.5</v>
      </c>
      <c r="I93" s="12">
        <v>1</v>
      </c>
      <c r="J93" s="12" t="s">
        <v>1582</v>
      </c>
      <c r="K93" s="12">
        <v>0</v>
      </c>
      <c r="L93" s="12">
        <v>0</v>
      </c>
      <c r="M93" s="13" t="s">
        <v>414</v>
      </c>
      <c r="N93" s="9">
        <f t="shared" si="1"/>
        <v>3.5</v>
      </c>
    </row>
    <row r="94" spans="1:14">
      <c r="A94" s="9" t="s">
        <v>1425</v>
      </c>
      <c r="B94" s="12">
        <v>2021</v>
      </c>
      <c r="C94" s="13" t="s">
        <v>415</v>
      </c>
      <c r="D94" s="12">
        <v>5</v>
      </c>
      <c r="E94" s="13" t="s">
        <v>1429</v>
      </c>
      <c r="F94" s="12">
        <v>1</v>
      </c>
      <c r="G94" s="12">
        <v>1</v>
      </c>
      <c r="H94" s="12">
        <v>0.5</v>
      </c>
      <c r="I94" s="12">
        <v>0</v>
      </c>
      <c r="K94" s="12">
        <v>0</v>
      </c>
      <c r="L94" s="12">
        <v>1</v>
      </c>
      <c r="M94" s="13" t="s">
        <v>416</v>
      </c>
      <c r="N94" s="9">
        <f t="shared" si="1"/>
        <v>3.5</v>
      </c>
    </row>
    <row r="95" spans="1:14">
      <c r="A95" s="9" t="s">
        <v>948</v>
      </c>
      <c r="B95" s="12">
        <v>2010</v>
      </c>
      <c r="C95" s="13" t="s">
        <v>80</v>
      </c>
      <c r="D95" s="12">
        <v>28</v>
      </c>
      <c r="E95" s="13" t="s">
        <v>952</v>
      </c>
      <c r="F95" s="12">
        <v>1</v>
      </c>
      <c r="G95" s="12">
        <v>1</v>
      </c>
      <c r="H95" s="12">
        <v>0</v>
      </c>
      <c r="I95" s="12">
        <v>1</v>
      </c>
      <c r="J95" s="12" t="s">
        <v>1582</v>
      </c>
      <c r="K95" s="12">
        <v>0</v>
      </c>
      <c r="L95" s="12">
        <v>0</v>
      </c>
      <c r="M95" s="13" t="s">
        <v>81</v>
      </c>
      <c r="N95" s="9">
        <f t="shared" si="1"/>
        <v>3</v>
      </c>
    </row>
    <row r="96" spans="1:14">
      <c r="A96" s="9" t="s">
        <v>980</v>
      </c>
      <c r="B96" s="12">
        <v>2010</v>
      </c>
      <c r="C96" s="13" t="s">
        <v>91</v>
      </c>
      <c r="D96" s="12">
        <v>16</v>
      </c>
      <c r="E96" s="13" t="s">
        <v>982</v>
      </c>
      <c r="F96" s="12">
        <v>1</v>
      </c>
      <c r="G96" s="12">
        <v>1</v>
      </c>
      <c r="H96" s="12">
        <v>0</v>
      </c>
      <c r="I96" s="12">
        <v>0</v>
      </c>
      <c r="K96" s="12">
        <v>0</v>
      </c>
      <c r="L96" s="12">
        <v>1</v>
      </c>
      <c r="M96" s="13" t="s">
        <v>92</v>
      </c>
      <c r="N96" s="9">
        <f t="shared" si="1"/>
        <v>3</v>
      </c>
    </row>
    <row r="97" spans="1:14">
      <c r="A97" s="9" t="s">
        <v>1067</v>
      </c>
      <c r="B97" s="12">
        <v>2012</v>
      </c>
      <c r="C97" s="13" t="s">
        <v>395</v>
      </c>
      <c r="D97" s="12">
        <v>20</v>
      </c>
      <c r="E97" s="13" t="s">
        <v>1071</v>
      </c>
      <c r="F97" s="12">
        <v>1</v>
      </c>
      <c r="G97" s="12">
        <v>1</v>
      </c>
      <c r="H97" s="12">
        <v>0</v>
      </c>
      <c r="I97" s="12">
        <v>1</v>
      </c>
      <c r="J97" s="12" t="s">
        <v>1582</v>
      </c>
      <c r="K97" s="12">
        <v>0</v>
      </c>
      <c r="L97" s="12">
        <v>0</v>
      </c>
      <c r="M97" s="13" t="s">
        <v>396</v>
      </c>
      <c r="N97" s="9">
        <f t="shared" si="1"/>
        <v>3</v>
      </c>
    </row>
    <row r="98" spans="1:14">
      <c r="A98" s="9" t="s">
        <v>1099</v>
      </c>
      <c r="B98" s="12">
        <v>2012</v>
      </c>
      <c r="C98" s="13" t="s">
        <v>823</v>
      </c>
      <c r="D98" s="12">
        <v>49</v>
      </c>
      <c r="E98" s="13" t="s">
        <v>1104</v>
      </c>
      <c r="F98" s="12">
        <v>1</v>
      </c>
      <c r="G98" s="12">
        <v>1</v>
      </c>
      <c r="H98" s="12">
        <v>1</v>
      </c>
      <c r="I98" s="12">
        <v>0</v>
      </c>
      <c r="K98" s="12">
        <v>0</v>
      </c>
      <c r="L98" s="12">
        <v>0</v>
      </c>
      <c r="M98" s="13" t="s">
        <v>1100</v>
      </c>
      <c r="N98" s="9">
        <f t="shared" si="1"/>
        <v>3</v>
      </c>
    </row>
    <row r="99" spans="1:14">
      <c r="A99" s="9" t="s">
        <v>1142</v>
      </c>
      <c r="B99" s="12">
        <v>2013</v>
      </c>
      <c r="C99" s="13" t="s">
        <v>841</v>
      </c>
      <c r="D99" s="12">
        <v>27</v>
      </c>
      <c r="E99" s="13" t="s">
        <v>1145</v>
      </c>
      <c r="F99" s="12">
        <v>1</v>
      </c>
      <c r="G99" s="12">
        <v>1</v>
      </c>
      <c r="H99" s="12">
        <v>0</v>
      </c>
      <c r="I99" s="12">
        <v>1</v>
      </c>
      <c r="J99" s="12" t="s">
        <v>1582</v>
      </c>
      <c r="K99" s="12">
        <v>0</v>
      </c>
      <c r="L99" s="12">
        <v>0</v>
      </c>
      <c r="M99" s="13" t="s">
        <v>842</v>
      </c>
      <c r="N99" s="9">
        <f t="shared" si="1"/>
        <v>3</v>
      </c>
    </row>
    <row r="100" spans="1:14">
      <c r="A100" s="9" t="s">
        <v>1178</v>
      </c>
      <c r="B100" s="12">
        <v>2014</v>
      </c>
      <c r="C100" s="13" t="s">
        <v>614</v>
      </c>
      <c r="D100" s="12">
        <v>20</v>
      </c>
      <c r="E100" s="13" t="s">
        <v>1180</v>
      </c>
      <c r="F100" s="12">
        <v>1</v>
      </c>
      <c r="G100" s="12">
        <v>1</v>
      </c>
      <c r="H100" s="12">
        <v>0</v>
      </c>
      <c r="I100" s="12">
        <v>0</v>
      </c>
      <c r="K100" s="12">
        <v>1</v>
      </c>
      <c r="L100" s="12">
        <v>0</v>
      </c>
      <c r="M100" s="13" t="s">
        <v>615</v>
      </c>
      <c r="N100" s="9">
        <f t="shared" si="1"/>
        <v>3</v>
      </c>
    </row>
    <row r="101" spans="1:14">
      <c r="A101" s="9" t="s">
        <v>1194</v>
      </c>
      <c r="B101" s="12">
        <v>2014</v>
      </c>
      <c r="C101" s="13" t="s">
        <v>173</v>
      </c>
      <c r="D101" s="12">
        <v>14</v>
      </c>
      <c r="E101" s="13" t="s">
        <v>1197</v>
      </c>
      <c r="F101" s="12">
        <v>1</v>
      </c>
      <c r="G101" s="12">
        <v>1</v>
      </c>
      <c r="H101" s="12">
        <v>1</v>
      </c>
      <c r="I101" s="12">
        <v>0</v>
      </c>
      <c r="K101" s="12">
        <v>0</v>
      </c>
      <c r="L101" s="12">
        <v>0</v>
      </c>
      <c r="M101" s="13" t="s">
        <v>174</v>
      </c>
      <c r="N101" s="9">
        <f t="shared" si="1"/>
        <v>3</v>
      </c>
    </row>
    <row r="102" spans="1:14">
      <c r="A102" s="9" t="s">
        <v>1214</v>
      </c>
      <c r="B102" s="12">
        <v>2015</v>
      </c>
      <c r="C102" s="13" t="s">
        <v>560</v>
      </c>
      <c r="D102" s="12">
        <v>9</v>
      </c>
      <c r="E102" s="13" t="s">
        <v>1217</v>
      </c>
      <c r="F102" s="12">
        <v>1</v>
      </c>
      <c r="G102" s="12">
        <v>1</v>
      </c>
      <c r="H102" s="12">
        <v>0</v>
      </c>
      <c r="I102" s="12">
        <v>0</v>
      </c>
      <c r="K102" s="12">
        <v>0</v>
      </c>
      <c r="L102" s="12">
        <v>1</v>
      </c>
      <c r="M102" s="13" t="s">
        <v>561</v>
      </c>
      <c r="N102" s="9">
        <f t="shared" si="1"/>
        <v>3</v>
      </c>
    </row>
    <row r="103" spans="1:14">
      <c r="A103" s="9" t="s">
        <v>1228</v>
      </c>
      <c r="B103" s="12">
        <v>2015</v>
      </c>
      <c r="C103" s="13" t="s">
        <v>316</v>
      </c>
      <c r="D103" s="12">
        <v>34</v>
      </c>
      <c r="E103" s="13" t="s">
        <v>1231</v>
      </c>
      <c r="F103" s="12">
        <v>1</v>
      </c>
      <c r="G103" s="12">
        <v>1</v>
      </c>
      <c r="H103" s="12">
        <v>0</v>
      </c>
      <c r="I103" s="12">
        <v>1</v>
      </c>
      <c r="J103" s="12" t="s">
        <v>1582</v>
      </c>
      <c r="K103" s="12">
        <v>0</v>
      </c>
      <c r="L103" s="12">
        <v>0</v>
      </c>
      <c r="M103" s="13" t="s">
        <v>317</v>
      </c>
      <c r="N103" s="9">
        <f t="shared" si="1"/>
        <v>3</v>
      </c>
    </row>
    <row r="104" spans="1:14">
      <c r="A104" s="9" t="s">
        <v>1233</v>
      </c>
      <c r="B104" s="12">
        <v>2015</v>
      </c>
      <c r="C104" s="13" t="s">
        <v>334</v>
      </c>
      <c r="D104" s="12">
        <v>31</v>
      </c>
      <c r="E104" s="13" t="s">
        <v>1236</v>
      </c>
      <c r="F104" s="12">
        <v>1</v>
      </c>
      <c r="G104" s="12">
        <v>1</v>
      </c>
      <c r="H104" s="12">
        <v>0</v>
      </c>
      <c r="I104" s="12">
        <v>1</v>
      </c>
      <c r="J104" s="12" t="s">
        <v>1582</v>
      </c>
      <c r="K104" s="12">
        <v>0</v>
      </c>
      <c r="L104" s="12">
        <v>0</v>
      </c>
      <c r="M104" s="13" t="s">
        <v>335</v>
      </c>
      <c r="N104" s="9">
        <f t="shared" si="1"/>
        <v>3</v>
      </c>
    </row>
    <row r="105" spans="1:14">
      <c r="A105" s="9" t="s">
        <v>1264</v>
      </c>
      <c r="B105" s="12">
        <v>2016</v>
      </c>
      <c r="C105" s="13" t="s">
        <v>12</v>
      </c>
      <c r="D105" s="12">
        <v>10</v>
      </c>
      <c r="E105" s="13" t="s">
        <v>1267</v>
      </c>
      <c r="F105" s="12">
        <v>1</v>
      </c>
      <c r="G105" s="12">
        <v>1</v>
      </c>
      <c r="H105" s="12">
        <v>0</v>
      </c>
      <c r="I105" s="12">
        <v>0</v>
      </c>
      <c r="K105" s="12">
        <v>0</v>
      </c>
      <c r="L105" s="12">
        <v>1</v>
      </c>
      <c r="M105" s="13" t="s">
        <v>13</v>
      </c>
      <c r="N105" s="9">
        <f t="shared" si="1"/>
        <v>3</v>
      </c>
    </row>
    <row r="106" spans="1:14">
      <c r="A106" s="9" t="s">
        <v>1298</v>
      </c>
      <c r="B106" s="12">
        <v>2017</v>
      </c>
      <c r="C106" s="13" t="s">
        <v>691</v>
      </c>
      <c r="D106" s="12">
        <v>13</v>
      </c>
      <c r="E106" s="13" t="s">
        <v>1301</v>
      </c>
      <c r="F106" s="12">
        <v>1</v>
      </c>
      <c r="G106" s="12">
        <v>1</v>
      </c>
      <c r="H106" s="12">
        <v>0</v>
      </c>
      <c r="I106" s="12">
        <v>0</v>
      </c>
      <c r="K106" s="12">
        <v>0</v>
      </c>
      <c r="L106" s="12">
        <v>1</v>
      </c>
      <c r="M106" s="13" t="s">
        <v>692</v>
      </c>
      <c r="N106" s="9">
        <f t="shared" si="1"/>
        <v>3</v>
      </c>
    </row>
    <row r="107" spans="1:14">
      <c r="A107" s="9" t="s">
        <v>1352</v>
      </c>
      <c r="B107" s="12">
        <v>2019</v>
      </c>
      <c r="C107" s="13" t="s">
        <v>592</v>
      </c>
      <c r="D107" s="12">
        <v>11</v>
      </c>
      <c r="E107" s="13" t="s">
        <v>1356</v>
      </c>
      <c r="F107" s="12">
        <v>1</v>
      </c>
      <c r="G107" s="12">
        <v>1</v>
      </c>
      <c r="H107" s="12">
        <v>0</v>
      </c>
      <c r="I107" s="12">
        <v>0</v>
      </c>
      <c r="K107" s="12">
        <v>0</v>
      </c>
      <c r="L107" s="12">
        <v>1</v>
      </c>
      <c r="M107" s="13" t="s">
        <v>593</v>
      </c>
      <c r="N107" s="9">
        <f t="shared" si="1"/>
        <v>3</v>
      </c>
    </row>
    <row r="108" spans="1:14">
      <c r="A108" s="9" t="s">
        <v>1374</v>
      </c>
      <c r="B108" s="12">
        <v>2019</v>
      </c>
      <c r="C108" s="13" t="s">
        <v>68</v>
      </c>
      <c r="D108" s="12">
        <v>27</v>
      </c>
      <c r="E108" s="13" t="s">
        <v>1378</v>
      </c>
      <c r="F108" s="12">
        <v>1</v>
      </c>
      <c r="G108" s="12">
        <v>1</v>
      </c>
      <c r="H108" s="12">
        <v>0</v>
      </c>
      <c r="I108" s="12">
        <v>1</v>
      </c>
      <c r="J108" s="12" t="s">
        <v>1582</v>
      </c>
      <c r="K108" s="12">
        <v>0</v>
      </c>
      <c r="L108" s="12">
        <v>0</v>
      </c>
      <c r="M108" s="13" t="s">
        <v>69</v>
      </c>
      <c r="N108" s="9">
        <f t="shared" si="1"/>
        <v>3</v>
      </c>
    </row>
    <row r="109" spans="1:14">
      <c r="A109" s="9" t="s">
        <v>1090</v>
      </c>
      <c r="B109" s="12">
        <v>2012</v>
      </c>
      <c r="C109" s="13" t="s">
        <v>179</v>
      </c>
      <c r="D109" s="12">
        <v>14</v>
      </c>
      <c r="E109" s="13" t="s">
        <v>1093</v>
      </c>
      <c r="F109" s="12">
        <v>1</v>
      </c>
      <c r="G109" s="12">
        <v>1</v>
      </c>
      <c r="H109" s="12">
        <v>0.5</v>
      </c>
      <c r="I109" s="12">
        <v>0</v>
      </c>
      <c r="K109" s="12">
        <v>0</v>
      </c>
      <c r="L109" s="12">
        <v>0</v>
      </c>
      <c r="M109" s="13" t="s">
        <v>180</v>
      </c>
      <c r="N109" s="9">
        <f t="shared" si="1"/>
        <v>2.5</v>
      </c>
    </row>
    <row r="110" spans="1:14">
      <c r="A110" s="9" t="s">
        <v>903</v>
      </c>
      <c r="B110" s="12">
        <v>2010</v>
      </c>
      <c r="C110" s="13" t="s">
        <v>14</v>
      </c>
      <c r="D110" s="12">
        <v>18</v>
      </c>
      <c r="E110" s="13" t="s">
        <v>910</v>
      </c>
      <c r="F110" s="12">
        <v>1</v>
      </c>
      <c r="G110" s="12">
        <v>1</v>
      </c>
      <c r="H110" s="12">
        <v>0</v>
      </c>
      <c r="I110" s="12">
        <v>0</v>
      </c>
      <c r="K110" s="12">
        <v>0</v>
      </c>
      <c r="L110" s="12">
        <v>0</v>
      </c>
      <c r="M110" s="13" t="s">
        <v>15</v>
      </c>
      <c r="N110" s="9">
        <f t="shared" si="1"/>
        <v>2</v>
      </c>
    </row>
  </sheetData>
  <autoFilter xmlns:etc="http://www.wps.cn/officeDocument/2017/etCustomData" ref="A1:N110" etc:filterBottomFollowUsedRange="0">
    <extLst/>
  </autoFilter>
  <sortState ref="A2:O110">
    <sortCondition ref="N2" descending="1"/>
  </sortState>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1"/>
  <sheetViews>
    <sheetView workbookViewId="0">
      <selection activeCell="L25" sqref="L25"/>
    </sheetView>
  </sheetViews>
  <sheetFormatPr defaultColWidth="8.72727272727273" defaultRowHeight="14"/>
  <cols>
    <col min="1" max="2" width="8.72727272727273" style="9"/>
    <col min="3" max="3" width="27.4545454545455" style="9" customWidth="1"/>
    <col min="4" max="4" width="21.5454545454545" customWidth="1"/>
  </cols>
  <sheetData>
    <row r="1" s="9" customFormat="1" spans="1:11">
      <c r="A1" s="10" t="s">
        <v>890</v>
      </c>
      <c r="B1" s="11" t="s">
        <v>4</v>
      </c>
      <c r="C1" s="10" t="s">
        <v>7</v>
      </c>
      <c r="D1" s="10" t="s">
        <v>896</v>
      </c>
    </row>
    <row r="2" s="9" customFormat="1" spans="1:11">
      <c r="A2" s="9" t="s">
        <v>1298</v>
      </c>
      <c r="B2" s="12">
        <v>2017</v>
      </c>
      <c r="C2" s="13" t="s">
        <v>691</v>
      </c>
      <c r="D2" s="9" t="s">
        <v>1586</v>
      </c>
      <c r="J2" s="9">
        <v>2010</v>
      </c>
      <c r="K2" s="9">
        <v>12</v>
      </c>
    </row>
    <row r="3" s="9" customFormat="1" spans="1:11">
      <c r="A3" s="9" t="s">
        <v>1284</v>
      </c>
      <c r="B3" s="12">
        <v>2017</v>
      </c>
      <c r="C3" s="13" t="s">
        <v>364</v>
      </c>
      <c r="D3" s="9" t="s">
        <v>1587</v>
      </c>
      <c r="J3" s="9">
        <v>2011</v>
      </c>
      <c r="K3" s="9">
        <v>8</v>
      </c>
    </row>
    <row r="4" s="9" customFormat="1" spans="1:11">
      <c r="A4" s="9" t="s">
        <v>1420</v>
      </c>
      <c r="B4" s="12">
        <v>2021</v>
      </c>
      <c r="C4" s="13" t="s">
        <v>717</v>
      </c>
      <c r="D4" s="9" t="s">
        <v>1588</v>
      </c>
      <c r="J4" s="9">
        <v>2012</v>
      </c>
      <c r="K4" s="9">
        <v>10</v>
      </c>
    </row>
    <row r="5" s="9" customFormat="1" spans="1:11">
      <c r="A5" s="9" t="s">
        <v>1184</v>
      </c>
      <c r="B5" s="12">
        <v>2014</v>
      </c>
      <c r="C5" s="13" t="s">
        <v>368</v>
      </c>
      <c r="D5" s="9" t="s">
        <v>1589</v>
      </c>
      <c r="J5" s="9">
        <v>2013</v>
      </c>
      <c r="K5" s="9">
        <v>4</v>
      </c>
    </row>
    <row r="6" s="9" customFormat="1" spans="1:11">
      <c r="A6" s="9" t="s">
        <v>1274</v>
      </c>
      <c r="B6" s="12">
        <v>2016</v>
      </c>
      <c r="C6" s="13" t="s">
        <v>391</v>
      </c>
      <c r="D6" s="9" t="s">
        <v>1590</v>
      </c>
      <c r="J6" s="9">
        <v>2014</v>
      </c>
      <c r="K6" s="9">
        <v>10</v>
      </c>
    </row>
    <row r="7" s="9" customFormat="1" spans="1:11">
      <c r="A7" s="9" t="s">
        <v>1214</v>
      </c>
      <c r="B7" s="12">
        <v>2015</v>
      </c>
      <c r="C7" s="13" t="s">
        <v>560</v>
      </c>
      <c r="D7" s="9" t="s">
        <v>1591</v>
      </c>
      <c r="J7" s="9">
        <v>2015</v>
      </c>
      <c r="K7" s="9">
        <v>8</v>
      </c>
    </row>
    <row r="8" s="9" customFormat="1" spans="1:11">
      <c r="A8" s="9" t="s">
        <v>1319</v>
      </c>
      <c r="B8" s="12">
        <v>2017</v>
      </c>
      <c r="C8" s="13" t="s">
        <v>584</v>
      </c>
      <c r="D8" s="9" t="s">
        <v>1592</v>
      </c>
      <c r="J8" s="9">
        <v>2016</v>
      </c>
      <c r="K8" s="9">
        <v>4</v>
      </c>
    </row>
    <row r="9" s="9" customFormat="1" spans="1:11">
      <c r="A9" s="9" t="s">
        <v>1488</v>
      </c>
      <c r="B9" s="12">
        <v>2024</v>
      </c>
      <c r="C9" s="13" t="s">
        <v>562</v>
      </c>
      <c r="D9" s="9" t="s">
        <v>1593</v>
      </c>
      <c r="J9" s="9">
        <v>2017</v>
      </c>
      <c r="K9" s="9">
        <v>10</v>
      </c>
    </row>
    <row r="10" s="9" customFormat="1" spans="1:11">
      <c r="A10" s="9" t="s">
        <v>1516</v>
      </c>
      <c r="B10" s="12">
        <v>2024</v>
      </c>
      <c r="C10" s="13" t="s">
        <v>352</v>
      </c>
      <c r="D10" s="9" t="s">
        <v>1594</v>
      </c>
      <c r="J10" s="9">
        <v>2018</v>
      </c>
      <c r="K10" s="9">
        <v>2</v>
      </c>
    </row>
    <row r="11" s="9" customFormat="1" spans="1:11">
      <c r="A11" s="9" t="s">
        <v>1445</v>
      </c>
      <c r="B11" s="12">
        <v>2021</v>
      </c>
      <c r="C11" s="13" t="s">
        <v>809</v>
      </c>
      <c r="D11" s="9" t="s">
        <v>1595</v>
      </c>
      <c r="J11" s="9">
        <v>2019</v>
      </c>
      <c r="K11" s="9">
        <v>8</v>
      </c>
    </row>
    <row r="12" s="9" customFormat="1" spans="1:11">
      <c r="A12" s="9" t="s">
        <v>1392</v>
      </c>
      <c r="B12" s="12">
        <v>2019</v>
      </c>
      <c r="C12" s="13" t="s">
        <v>813</v>
      </c>
      <c r="D12" s="9" t="s">
        <v>1596</v>
      </c>
      <c r="J12" s="9">
        <v>2020</v>
      </c>
      <c r="K12" s="9">
        <v>2</v>
      </c>
    </row>
    <row r="13" s="9" customFormat="1" spans="1:11">
      <c r="A13" s="9" t="s">
        <v>1173</v>
      </c>
      <c r="B13" s="12">
        <v>2014</v>
      </c>
      <c r="C13" s="13" t="s">
        <v>803</v>
      </c>
      <c r="D13" s="9" t="s">
        <v>1597</v>
      </c>
      <c r="J13" s="9">
        <v>2021</v>
      </c>
      <c r="K13" s="9">
        <v>6</v>
      </c>
    </row>
    <row r="14" s="9" customFormat="1" spans="1:11">
      <c r="A14" s="9" t="s">
        <v>1483</v>
      </c>
      <c r="B14" s="12">
        <v>2024</v>
      </c>
      <c r="C14" s="13" t="s">
        <v>366</v>
      </c>
      <c r="D14" s="9" t="s">
        <v>1598</v>
      </c>
      <c r="J14" s="9">
        <v>2022</v>
      </c>
      <c r="K14" s="9">
        <v>3</v>
      </c>
    </row>
    <row r="15" s="9" customFormat="1" spans="1:11">
      <c r="A15" s="9" t="s">
        <v>1432</v>
      </c>
      <c r="B15" s="12">
        <v>2021</v>
      </c>
      <c r="C15" s="13" t="s">
        <v>843</v>
      </c>
      <c r="D15" s="9" t="s">
        <v>1599</v>
      </c>
      <c r="J15" s="9">
        <v>2023</v>
      </c>
      <c r="K15" s="9">
        <v>1</v>
      </c>
    </row>
    <row r="16" s="9" customFormat="1" spans="1:11">
      <c r="A16" s="9" t="s">
        <v>1340</v>
      </c>
      <c r="B16" s="12">
        <v>2018</v>
      </c>
      <c r="C16" s="13" t="s">
        <v>26</v>
      </c>
      <c r="D16" s="9" t="s">
        <v>1600</v>
      </c>
      <c r="J16" s="9">
        <v>2024</v>
      </c>
      <c r="K16" s="9">
        <v>8</v>
      </c>
    </row>
    <row r="17" s="9" customFormat="1" spans="1:11">
      <c r="A17" s="9" t="s">
        <v>1510</v>
      </c>
      <c r="B17" s="12">
        <v>2024</v>
      </c>
      <c r="C17" s="13" t="s">
        <v>93</v>
      </c>
      <c r="D17" s="9" t="s">
        <v>1601</v>
      </c>
      <c r="J17" s="9">
        <v>2025</v>
      </c>
      <c r="K17" s="9">
        <v>1</v>
      </c>
    </row>
    <row r="18" s="9" customFormat="1" spans="1:11">
      <c r="A18" s="9" t="s">
        <v>1044</v>
      </c>
      <c r="B18" s="15">
        <v>2011</v>
      </c>
      <c r="C18" s="16" t="s">
        <v>798</v>
      </c>
      <c r="D18" s="9" t="s">
        <v>1602</v>
      </c>
    </row>
    <row r="19" s="9" customFormat="1" spans="1:11">
      <c r="A19" s="9" t="s">
        <v>1358</v>
      </c>
      <c r="B19" s="12">
        <v>2019</v>
      </c>
      <c r="C19" s="13" t="s">
        <v>636</v>
      </c>
      <c r="D19" s="9" t="s">
        <v>1603</v>
      </c>
    </row>
    <row r="20" s="9" customFormat="1" spans="1:11">
      <c r="A20" s="9" t="s">
        <v>1458</v>
      </c>
      <c r="B20" s="12">
        <v>2022</v>
      </c>
      <c r="C20" s="13" t="s">
        <v>705</v>
      </c>
      <c r="D20" s="9" t="s">
        <v>1604</v>
      </c>
    </row>
    <row r="21" s="9" customFormat="1" spans="1:11">
      <c r="A21" s="9" t="s">
        <v>1347</v>
      </c>
      <c r="B21" s="12">
        <v>2019</v>
      </c>
      <c r="C21" s="13" t="s">
        <v>376</v>
      </c>
      <c r="D21" s="9" t="s">
        <v>1605</v>
      </c>
    </row>
    <row r="22" s="9" customFormat="1" spans="1:11">
      <c r="A22" s="9" t="s">
        <v>1439</v>
      </c>
      <c r="B22" s="12">
        <v>2021</v>
      </c>
      <c r="C22" s="13" t="s">
        <v>855</v>
      </c>
      <c r="D22" s="9" t="s">
        <v>1606</v>
      </c>
    </row>
    <row r="23" s="9" customFormat="1" spans="1:11">
      <c r="A23" s="9" t="s">
        <v>955</v>
      </c>
      <c r="B23" s="12">
        <v>2010</v>
      </c>
      <c r="C23" s="13" t="s">
        <v>124</v>
      </c>
      <c r="D23" s="9" t="s">
        <v>1607</v>
      </c>
    </row>
    <row r="24" s="9" customFormat="1" spans="1:11">
      <c r="A24" s="9" t="s">
        <v>1021</v>
      </c>
      <c r="B24" s="12">
        <v>2011</v>
      </c>
      <c r="C24" s="13" t="s">
        <v>632</v>
      </c>
      <c r="D24" s="9" t="s">
        <v>1608</v>
      </c>
    </row>
    <row r="25" s="9" customFormat="1" spans="1:11">
      <c r="A25" s="9" t="s">
        <v>1095</v>
      </c>
      <c r="B25" s="12">
        <v>2012</v>
      </c>
      <c r="C25" s="13" t="s">
        <v>191</v>
      </c>
      <c r="D25" s="9" t="s">
        <v>1609</v>
      </c>
    </row>
    <row r="26" s="9" customFormat="1" spans="1:11">
      <c r="A26" s="9" t="s">
        <v>1238</v>
      </c>
      <c r="B26" s="12">
        <v>2015</v>
      </c>
      <c r="C26" s="13" t="s">
        <v>378</v>
      </c>
      <c r="D26" s="9" t="s">
        <v>1610</v>
      </c>
    </row>
    <row r="27" s="9" customFormat="1" spans="1:11">
      <c r="A27" s="9" t="s">
        <v>1453</v>
      </c>
      <c r="B27" s="12">
        <v>2022</v>
      </c>
      <c r="C27" s="13" t="s">
        <v>385</v>
      </c>
      <c r="D27" s="9" t="s">
        <v>1611</v>
      </c>
    </row>
    <row r="28" s="9" customFormat="1" spans="1:11">
      <c r="A28" s="9" t="s">
        <v>1090</v>
      </c>
      <c r="B28" s="12">
        <v>2012</v>
      </c>
      <c r="C28" s="13" t="s">
        <v>179</v>
      </c>
      <c r="D28" s="9" t="s">
        <v>1612</v>
      </c>
    </row>
    <row r="29" s="9" customFormat="1" spans="1:11">
      <c r="A29" s="9" t="s">
        <v>1335</v>
      </c>
      <c r="B29" s="12">
        <v>2018</v>
      </c>
      <c r="C29" s="13" t="s">
        <v>851</v>
      </c>
      <c r="D29" s="9" t="s">
        <v>1613</v>
      </c>
    </row>
    <row r="30" s="9" customFormat="1" spans="1:11">
      <c r="A30" s="9" t="s">
        <v>1067</v>
      </c>
      <c r="B30" s="12">
        <v>2012</v>
      </c>
      <c r="C30" s="13" t="s">
        <v>395</v>
      </c>
      <c r="D30" s="9" t="s">
        <v>1614</v>
      </c>
    </row>
    <row r="31" s="9" customFormat="1" spans="1:11">
      <c r="A31" s="9" t="s">
        <v>1152</v>
      </c>
      <c r="B31" s="12">
        <v>2014</v>
      </c>
      <c r="C31" s="13" t="s">
        <v>22</v>
      </c>
      <c r="D31" s="9" t="s">
        <v>1615</v>
      </c>
    </row>
    <row r="32" s="9" customFormat="1" spans="1:11">
      <c r="A32" s="9" t="s">
        <v>1468</v>
      </c>
      <c r="B32" s="12">
        <v>2023</v>
      </c>
      <c r="C32" s="13" t="s">
        <v>389</v>
      </c>
      <c r="D32" s="9" t="s">
        <v>1616</v>
      </c>
    </row>
    <row r="33" s="9" customFormat="1" spans="1:4">
      <c r="A33" s="9" t="s">
        <v>1400</v>
      </c>
      <c r="B33" s="12">
        <v>2019</v>
      </c>
      <c r="C33" s="13" t="s">
        <v>572</v>
      </c>
      <c r="D33" s="9" t="s">
        <v>1617</v>
      </c>
    </row>
    <row r="34" s="9" customFormat="1" spans="1:4">
      <c r="A34" s="9" t="s">
        <v>1031</v>
      </c>
      <c r="B34" s="12">
        <v>2011</v>
      </c>
      <c r="C34" s="13" t="s">
        <v>109</v>
      </c>
      <c r="D34" s="9" t="s">
        <v>1618</v>
      </c>
    </row>
    <row r="35" s="9" customFormat="1" spans="1:4">
      <c r="A35" s="9" t="s">
        <v>998</v>
      </c>
      <c r="B35" s="12">
        <v>2010</v>
      </c>
      <c r="C35" s="13" t="s">
        <v>709</v>
      </c>
      <c r="D35" s="9" t="s">
        <v>1619</v>
      </c>
    </row>
    <row r="36" s="9" customFormat="1" spans="1:4">
      <c r="A36" s="9" t="s">
        <v>1363</v>
      </c>
      <c r="B36" s="12">
        <v>2019</v>
      </c>
      <c r="C36" s="13" t="s">
        <v>344</v>
      </c>
      <c r="D36" s="9" t="s">
        <v>1620</v>
      </c>
    </row>
    <row r="37" s="9" customFormat="1" spans="1:4">
      <c r="A37" s="9" t="s">
        <v>914</v>
      </c>
      <c r="B37" s="12">
        <v>2010</v>
      </c>
      <c r="C37" s="13" t="s">
        <v>283</v>
      </c>
      <c r="D37" s="9" t="s">
        <v>1621</v>
      </c>
    </row>
    <row r="38" s="9" customFormat="1" spans="1:4">
      <c r="A38" s="9" t="s">
        <v>1163</v>
      </c>
      <c r="B38" s="12">
        <v>2014</v>
      </c>
      <c r="C38" s="13" t="s">
        <v>78</v>
      </c>
      <c r="D38" s="9" t="s">
        <v>1622</v>
      </c>
    </row>
    <row r="39" s="9" customFormat="1" spans="1:4">
      <c r="A39" s="9" t="s">
        <v>1404</v>
      </c>
      <c r="B39" s="12">
        <v>2020</v>
      </c>
      <c r="C39" s="13" t="s">
        <v>699</v>
      </c>
      <c r="D39" s="9" t="s">
        <v>1623</v>
      </c>
    </row>
    <row r="40" s="9" customFormat="1" spans="1:4">
      <c r="A40" s="9" t="s">
        <v>1290</v>
      </c>
      <c r="B40" s="12">
        <v>2017</v>
      </c>
      <c r="C40" s="13" t="s">
        <v>827</v>
      </c>
      <c r="D40" s="9" t="s">
        <v>1624</v>
      </c>
    </row>
    <row r="41" s="9" customFormat="1" spans="1:4">
      <c r="A41" s="9" t="s">
        <v>1303</v>
      </c>
      <c r="B41" s="12">
        <v>2017</v>
      </c>
      <c r="C41" s="13" t="s">
        <v>372</v>
      </c>
      <c r="D41" s="9" t="s">
        <v>1625</v>
      </c>
    </row>
    <row r="42" s="9" customFormat="1" spans="1:4">
      <c r="A42" s="9" t="s">
        <v>1147</v>
      </c>
      <c r="B42" s="12">
        <v>2013</v>
      </c>
      <c r="C42" s="13" t="s">
        <v>370</v>
      </c>
      <c r="D42" s="9" t="s">
        <v>1626</v>
      </c>
    </row>
    <row r="43" s="9" customFormat="1" spans="1:4">
      <c r="A43" s="9" t="s">
        <v>940</v>
      </c>
      <c r="B43" s="12">
        <v>2010</v>
      </c>
      <c r="C43" s="13" t="s">
        <v>66</v>
      </c>
      <c r="D43" s="9" t="s">
        <v>1627</v>
      </c>
    </row>
    <row r="44" s="9" customFormat="1" spans="1:4">
      <c r="A44" s="9" t="s">
        <v>1248</v>
      </c>
      <c r="B44" s="12">
        <v>2015</v>
      </c>
      <c r="C44" s="13" t="s">
        <v>821</v>
      </c>
      <c r="D44" s="9" t="s">
        <v>1628</v>
      </c>
    </row>
    <row r="45" s="9" customFormat="1" spans="1:4">
      <c r="A45" s="9" t="s">
        <v>1062</v>
      </c>
      <c r="B45" s="12">
        <v>2012</v>
      </c>
      <c r="C45" s="13" t="s">
        <v>727</v>
      </c>
      <c r="D45" s="9" t="s">
        <v>1629</v>
      </c>
    </row>
    <row r="46" s="9" customFormat="1" spans="1:4">
      <c r="A46" s="9" t="s">
        <v>1269</v>
      </c>
      <c r="B46" s="12">
        <v>2016</v>
      </c>
      <c r="C46" s="13" t="s">
        <v>675</v>
      </c>
      <c r="D46" s="9" t="s">
        <v>1630</v>
      </c>
    </row>
    <row r="47" s="9" customFormat="1" spans="1:4">
      <c r="A47" s="9" t="s">
        <v>1368</v>
      </c>
      <c r="B47" s="12">
        <v>2019</v>
      </c>
      <c r="C47" s="13" t="s">
        <v>413</v>
      </c>
      <c r="D47" s="9" t="s">
        <v>1631</v>
      </c>
    </row>
    <row r="48" s="9" customFormat="1" spans="1:4">
      <c r="A48" s="9" t="s">
        <v>1259</v>
      </c>
      <c r="B48" s="12">
        <v>2016</v>
      </c>
      <c r="C48" s="13" t="s">
        <v>74</v>
      </c>
      <c r="D48" s="9" t="s">
        <v>1632</v>
      </c>
    </row>
    <row r="49" s="9" customFormat="1" spans="1:4">
      <c r="A49" s="9" t="s">
        <v>1106</v>
      </c>
      <c r="B49" s="12">
        <v>2012</v>
      </c>
      <c r="C49" s="13" t="s">
        <v>84</v>
      </c>
      <c r="D49" s="9" t="s">
        <v>1633</v>
      </c>
    </row>
    <row r="50" s="9" customFormat="1" spans="1:4">
      <c r="A50" s="9" t="s">
        <v>1014</v>
      </c>
      <c r="B50" s="12">
        <v>2011</v>
      </c>
      <c r="C50" s="13" t="s">
        <v>586</v>
      </c>
      <c r="D50" s="9" t="s">
        <v>1634</v>
      </c>
    </row>
    <row r="51" s="9" customFormat="1" spans="1:4">
      <c r="A51" s="9" t="s">
        <v>1323</v>
      </c>
      <c r="B51" s="12">
        <v>2017</v>
      </c>
      <c r="C51" s="13" t="s">
        <v>875</v>
      </c>
      <c r="D51" s="9" t="s">
        <v>1635</v>
      </c>
    </row>
    <row r="52" s="9" customFormat="1" spans="1:4">
      <c r="A52" s="9" t="s">
        <v>1409</v>
      </c>
      <c r="B52" s="12">
        <v>2020</v>
      </c>
      <c r="C52" s="13" t="s">
        <v>634</v>
      </c>
      <c r="D52" s="9" t="s">
        <v>1636</v>
      </c>
    </row>
    <row r="53" s="9" customFormat="1" spans="1:4">
      <c r="A53" s="9" t="s">
        <v>971</v>
      </c>
      <c r="B53" s="12">
        <v>2010</v>
      </c>
      <c r="C53" s="13" t="s">
        <v>314</v>
      </c>
      <c r="D53" s="9" t="s">
        <v>1637</v>
      </c>
    </row>
    <row r="54" s="9" customFormat="1" spans="1:4">
      <c r="A54" s="9" t="s">
        <v>1073</v>
      </c>
      <c r="B54" s="12">
        <v>2012</v>
      </c>
      <c r="C54" s="13" t="s">
        <v>620</v>
      </c>
      <c r="D54" s="9" t="s">
        <v>1638</v>
      </c>
    </row>
    <row r="55" s="9" customFormat="1" spans="1:4">
      <c r="A55" s="9" t="s">
        <v>931</v>
      </c>
      <c r="B55" s="12">
        <v>2010</v>
      </c>
      <c r="C55" s="13" t="s">
        <v>297</v>
      </c>
      <c r="D55" s="9" t="s">
        <v>1639</v>
      </c>
    </row>
    <row r="56" s="9" customFormat="1" spans="1:4">
      <c r="A56" s="9" t="s">
        <v>1203</v>
      </c>
      <c r="B56" s="12">
        <v>2015</v>
      </c>
      <c r="C56" s="13" t="s">
        <v>576</v>
      </c>
      <c r="D56" s="9" t="s">
        <v>1640</v>
      </c>
    </row>
    <row r="57" s="9" customFormat="1" spans="1:4">
      <c r="A57" s="9" t="s">
        <v>1169</v>
      </c>
      <c r="B57" s="12">
        <v>2014</v>
      </c>
      <c r="C57" s="13" t="s">
        <v>24</v>
      </c>
      <c r="D57" s="9" t="s">
        <v>1641</v>
      </c>
    </row>
    <row r="58" s="9" customFormat="1" spans="1:4">
      <c r="A58" s="9" t="s">
        <v>948</v>
      </c>
      <c r="B58" s="12">
        <v>2010</v>
      </c>
      <c r="C58" s="13" t="s">
        <v>80</v>
      </c>
      <c r="D58" s="9" t="s">
        <v>1642</v>
      </c>
    </row>
    <row r="59" s="9" customFormat="1" spans="1:4">
      <c r="A59" s="9" t="s">
        <v>1308</v>
      </c>
      <c r="B59" s="12">
        <v>2017</v>
      </c>
      <c r="C59" s="13" t="s">
        <v>163</v>
      </c>
      <c r="D59" s="9" t="s">
        <v>1643</v>
      </c>
    </row>
    <row r="60" s="9" customFormat="1" spans="1:4">
      <c r="A60" s="9" t="s">
        <v>1352</v>
      </c>
      <c r="B60" s="12">
        <v>2019</v>
      </c>
      <c r="C60" s="13" t="s">
        <v>592</v>
      </c>
      <c r="D60" s="9" t="s">
        <v>1644</v>
      </c>
    </row>
    <row r="61" s="9" customFormat="1" spans="1:4">
      <c r="A61" s="9" t="s">
        <v>1026</v>
      </c>
      <c r="B61" s="12">
        <v>2011</v>
      </c>
      <c r="C61" s="13" t="s">
        <v>320</v>
      </c>
      <c r="D61" s="9" t="s">
        <v>1645</v>
      </c>
    </row>
    <row r="62" s="9" customFormat="1" spans="1:4">
      <c r="A62" s="9" t="s">
        <v>1112</v>
      </c>
      <c r="B62" s="12">
        <v>2012</v>
      </c>
      <c r="C62" s="13" t="s">
        <v>336</v>
      </c>
      <c r="D62" s="9" t="s">
        <v>1646</v>
      </c>
    </row>
    <row r="63" s="9" customFormat="1" spans="1:4">
      <c r="A63" s="9" t="s">
        <v>962</v>
      </c>
      <c r="B63" s="12">
        <v>2010</v>
      </c>
      <c r="C63" s="13" t="s">
        <v>638</v>
      </c>
      <c r="D63" s="9" t="s">
        <v>1647</v>
      </c>
    </row>
    <row r="64" s="9" customFormat="1" spans="1:4">
      <c r="A64" s="9" t="s">
        <v>1157</v>
      </c>
      <c r="B64" s="12">
        <v>2014</v>
      </c>
      <c r="C64" s="13" t="s">
        <v>318</v>
      </c>
      <c r="D64" s="9" t="s">
        <v>1648</v>
      </c>
    </row>
    <row r="65" s="9" customFormat="1" spans="1:4">
      <c r="A65" s="9" t="s">
        <v>1056</v>
      </c>
      <c r="B65" s="12">
        <v>2012</v>
      </c>
      <c r="C65" s="13" t="s">
        <v>668</v>
      </c>
      <c r="D65" s="9" t="s">
        <v>1649</v>
      </c>
    </row>
    <row r="66" s="9" customFormat="1" spans="1:4">
      <c r="A66" s="9" t="s">
        <v>1209</v>
      </c>
      <c r="B66" s="12">
        <v>2015</v>
      </c>
      <c r="C66" s="13" t="s">
        <v>409</v>
      </c>
      <c r="D66" s="9" t="s">
        <v>1650</v>
      </c>
    </row>
    <row r="67" s="9" customFormat="1" spans="1:4">
      <c r="A67" s="9" t="s">
        <v>1178</v>
      </c>
      <c r="B67" s="12">
        <v>2014</v>
      </c>
      <c r="C67" s="13" t="s">
        <v>614</v>
      </c>
      <c r="D67" s="9" t="s">
        <v>1651</v>
      </c>
    </row>
    <row r="68" s="9" customFormat="1" spans="1:4">
      <c r="A68" s="9" t="s">
        <v>1520</v>
      </c>
      <c r="B68" s="12">
        <v>2025</v>
      </c>
      <c r="C68" s="13" t="s">
        <v>348</v>
      </c>
      <c r="D68" s="9" t="s">
        <v>1652</v>
      </c>
    </row>
    <row r="69" s="9" customFormat="1" spans="1:4">
      <c r="A69" s="9" t="s">
        <v>921</v>
      </c>
      <c r="B69" s="12">
        <v>2010</v>
      </c>
      <c r="C69" s="13" t="s">
        <v>701</v>
      </c>
      <c r="D69" s="9" t="s">
        <v>1653</v>
      </c>
    </row>
    <row r="70" s="9" customFormat="1" spans="1:4">
      <c r="A70" s="9" t="s">
        <v>1425</v>
      </c>
      <c r="B70" s="12">
        <v>2021</v>
      </c>
      <c r="C70" s="13" t="s">
        <v>415</v>
      </c>
      <c r="D70" s="9" t="s">
        <v>1654</v>
      </c>
    </row>
    <row r="71" s="9" customFormat="1" spans="1:4">
      <c r="A71" s="9" t="s">
        <v>1264</v>
      </c>
      <c r="B71" s="12">
        <v>2016</v>
      </c>
      <c r="C71" s="13" t="s">
        <v>12</v>
      </c>
      <c r="D71" s="9" t="s">
        <v>1655</v>
      </c>
    </row>
    <row r="72" s="9" customFormat="1" spans="1:4">
      <c r="A72" s="9" t="s">
        <v>903</v>
      </c>
      <c r="B72" s="12">
        <v>2010</v>
      </c>
      <c r="C72" s="13" t="s">
        <v>14</v>
      </c>
      <c r="D72" s="9" t="s">
        <v>1656</v>
      </c>
    </row>
    <row r="73" s="9" customFormat="1" spans="1:4">
      <c r="A73" s="9" t="s">
        <v>1086</v>
      </c>
      <c r="B73" s="12">
        <v>2012</v>
      </c>
      <c r="C73" s="13" t="s">
        <v>105</v>
      </c>
      <c r="D73" s="9" t="s">
        <v>1657</v>
      </c>
    </row>
    <row r="74" s="9" customFormat="1" spans="1:4">
      <c r="A74" s="9" t="s">
        <v>980</v>
      </c>
      <c r="B74" s="12">
        <v>2010</v>
      </c>
      <c r="C74" s="13" t="s">
        <v>91</v>
      </c>
      <c r="D74" s="9" t="s">
        <v>1658</v>
      </c>
    </row>
    <row r="75" s="9" customFormat="1" spans="1:4">
      <c r="A75" s="9" t="s">
        <v>1414</v>
      </c>
      <c r="B75" s="12">
        <v>2021</v>
      </c>
      <c r="C75" s="13" t="s">
        <v>656</v>
      </c>
      <c r="D75" s="9" t="s">
        <v>1659</v>
      </c>
    </row>
    <row r="76" s="9" customFormat="1" spans="1:4">
      <c r="A76" s="9" t="s">
        <v>1052</v>
      </c>
      <c r="B76" s="12">
        <v>2011</v>
      </c>
      <c r="C76" s="13" t="s">
        <v>342</v>
      </c>
      <c r="D76" s="9" t="s">
        <v>1660</v>
      </c>
    </row>
    <row r="77" s="9" customFormat="1" spans="1:4">
      <c r="A77" s="9" t="s">
        <v>1188</v>
      </c>
      <c r="B77" s="12">
        <v>2014</v>
      </c>
      <c r="C77" s="13" t="s">
        <v>374</v>
      </c>
      <c r="D77" s="9" t="s">
        <v>1661</v>
      </c>
    </row>
    <row r="78" s="9" customFormat="1" spans="1:4">
      <c r="A78" s="9" t="s">
        <v>1329</v>
      </c>
      <c r="B78" s="12">
        <v>2017</v>
      </c>
      <c r="C78" s="13" t="s">
        <v>833</v>
      </c>
      <c r="D78" s="9" t="s">
        <v>1662</v>
      </c>
    </row>
    <row r="79" s="9" customFormat="1" spans="1:4">
      <c r="A79" s="9" t="s">
        <v>1194</v>
      </c>
      <c r="B79" s="12">
        <v>2014</v>
      </c>
      <c r="C79" s="13" t="s">
        <v>173</v>
      </c>
      <c r="D79" s="9" t="s">
        <v>1663</v>
      </c>
    </row>
    <row r="80" s="9" customFormat="1" spans="1:4">
      <c r="A80" s="9" t="s">
        <v>1124</v>
      </c>
      <c r="B80" s="12">
        <v>2013</v>
      </c>
      <c r="C80" s="13" t="s">
        <v>158</v>
      </c>
      <c r="D80" s="9" t="s">
        <v>1664</v>
      </c>
    </row>
    <row r="81" s="9" customFormat="1" spans="1:4">
      <c r="A81" s="9" t="s">
        <v>1220</v>
      </c>
      <c r="B81" s="12">
        <v>2015</v>
      </c>
      <c r="C81" s="13" t="s">
        <v>723</v>
      </c>
      <c r="D81" s="9" t="s">
        <v>1665</v>
      </c>
    </row>
    <row r="82" s="9" customFormat="1" spans="1:4">
      <c r="A82" s="9" t="s">
        <v>1278</v>
      </c>
      <c r="B82" s="12">
        <v>2017</v>
      </c>
      <c r="C82" s="13" t="s">
        <v>677</v>
      </c>
      <c r="D82" s="9" t="s">
        <v>1666</v>
      </c>
    </row>
    <row r="83" s="9" customFormat="1" spans="1:4">
      <c r="A83" s="9" t="s">
        <v>993</v>
      </c>
      <c r="B83" s="12">
        <v>2010</v>
      </c>
      <c r="C83" s="13" t="s">
        <v>801</v>
      </c>
      <c r="D83" s="9" t="s">
        <v>1667</v>
      </c>
    </row>
    <row r="84" s="9" customFormat="1" spans="1:4">
      <c r="A84" s="9" t="s">
        <v>1079</v>
      </c>
      <c r="B84" s="12">
        <v>2012</v>
      </c>
      <c r="C84" s="13" t="s">
        <v>76</v>
      </c>
      <c r="D84" s="9" t="s">
        <v>1668</v>
      </c>
    </row>
    <row r="85" s="9" customFormat="1" spans="1:4">
      <c r="A85" s="9" t="s">
        <v>1142</v>
      </c>
      <c r="B85" s="12">
        <v>2013</v>
      </c>
      <c r="C85" s="13" t="s">
        <v>841</v>
      </c>
      <c r="D85" s="9" t="s">
        <v>1669</v>
      </c>
    </row>
    <row r="86" s="9" customFormat="1" spans="1:4">
      <c r="A86" s="9" t="s">
        <v>1243</v>
      </c>
      <c r="B86" s="12">
        <v>2015</v>
      </c>
      <c r="C86" s="13" t="s">
        <v>387</v>
      </c>
      <c r="D86" s="9" t="s">
        <v>1670</v>
      </c>
    </row>
    <row r="87" s="9" customFormat="1" spans="1:4">
      <c r="A87" s="9" t="s">
        <v>1136</v>
      </c>
      <c r="B87" s="12">
        <v>2013</v>
      </c>
      <c r="C87" s="13" t="s">
        <v>362</v>
      </c>
      <c r="D87" s="9" t="s">
        <v>1671</v>
      </c>
    </row>
    <row r="88" s="9" customFormat="1" spans="1:4">
      <c r="A88" s="9" t="s">
        <v>1448</v>
      </c>
      <c r="B88" s="12">
        <v>2022</v>
      </c>
      <c r="C88" s="13" t="s">
        <v>128</v>
      </c>
      <c r="D88" s="9" t="s">
        <v>1672</v>
      </c>
    </row>
    <row r="89" s="9" customFormat="1" spans="1:4">
      <c r="A89" s="9" t="s">
        <v>1254</v>
      </c>
      <c r="B89" s="12">
        <v>2015</v>
      </c>
      <c r="C89" s="13" t="s">
        <v>403</v>
      </c>
      <c r="D89" s="9" t="s">
        <v>1673</v>
      </c>
    </row>
    <row r="90" s="9" customFormat="1" spans="1:4">
      <c r="A90" s="9" t="s">
        <v>1463</v>
      </c>
      <c r="B90" s="12">
        <v>2023</v>
      </c>
      <c r="C90" s="13" t="s">
        <v>622</v>
      </c>
      <c r="D90" s="9" t="s">
        <v>1674</v>
      </c>
    </row>
    <row r="91" s="9" customFormat="1" spans="1:4">
      <c r="A91" s="9" t="s">
        <v>1199</v>
      </c>
      <c r="B91" s="12">
        <v>2014</v>
      </c>
      <c r="C91" s="13" t="s">
        <v>839</v>
      </c>
      <c r="D91" s="9" t="s">
        <v>1675</v>
      </c>
    </row>
    <row r="92" s="9" customFormat="1" spans="1:4">
      <c r="A92" s="9" t="s">
        <v>1233</v>
      </c>
      <c r="B92" s="12">
        <v>2015</v>
      </c>
      <c r="C92" s="13" t="s">
        <v>334</v>
      </c>
      <c r="D92" s="9" t="s">
        <v>1676</v>
      </c>
    </row>
    <row r="93" s="9" customFormat="1" spans="1:4">
      <c r="A93" s="9" t="s">
        <v>1130</v>
      </c>
      <c r="B93" s="12">
        <v>2013</v>
      </c>
      <c r="C93" s="13" t="s">
        <v>681</v>
      </c>
      <c r="D93" s="9" t="s">
        <v>1677</v>
      </c>
    </row>
    <row r="94" s="9" customFormat="1" spans="1:4">
      <c r="A94" s="9" t="s">
        <v>1294</v>
      </c>
      <c r="B94" s="12">
        <v>2017</v>
      </c>
      <c r="C94" s="13" t="s">
        <v>673</v>
      </c>
      <c r="D94" s="9" t="s">
        <v>1678</v>
      </c>
    </row>
    <row r="95" s="9" customFormat="1" spans="1:4">
      <c r="A95" s="9" t="s">
        <v>1099</v>
      </c>
      <c r="B95" s="12">
        <v>2012</v>
      </c>
      <c r="C95" s="13" t="s">
        <v>823</v>
      </c>
      <c r="D95" s="9" t="s">
        <v>1679</v>
      </c>
    </row>
    <row r="96" s="9" customFormat="1" spans="1:4">
      <c r="A96" s="9" t="s">
        <v>1505</v>
      </c>
      <c r="B96" s="12">
        <v>2024</v>
      </c>
      <c r="C96" s="13" t="s">
        <v>411</v>
      </c>
      <c r="D96" s="9" t="s">
        <v>1680</v>
      </c>
    </row>
    <row r="97" s="9" customFormat="1" spans="1:4">
      <c r="A97" s="9" t="s">
        <v>1493</v>
      </c>
      <c r="B97" s="12">
        <v>2024</v>
      </c>
      <c r="C97" s="13" t="s">
        <v>612</v>
      </c>
      <c r="D97" s="9" t="s">
        <v>1681</v>
      </c>
    </row>
    <row r="98" s="9" customFormat="1" spans="1:4">
      <c r="A98" s="9" t="s">
        <v>1038</v>
      </c>
      <c r="B98" s="12">
        <v>2011</v>
      </c>
      <c r="C98" s="13" t="s">
        <v>837</v>
      </c>
      <c r="D98" s="9" t="s">
        <v>1682</v>
      </c>
    </row>
    <row r="99" s="9" customFormat="1" spans="1:4">
      <c r="A99" s="9" t="s">
        <v>1006</v>
      </c>
      <c r="B99" s="12">
        <v>2011</v>
      </c>
      <c r="C99" s="13" t="s">
        <v>171</v>
      </c>
      <c r="D99" s="9" t="s">
        <v>1683</v>
      </c>
    </row>
    <row r="100" s="9" customFormat="1" spans="1:4">
      <c r="A100" s="9" t="s">
        <v>1228</v>
      </c>
      <c r="B100" s="12">
        <v>2015</v>
      </c>
      <c r="C100" s="13" t="s">
        <v>316</v>
      </c>
      <c r="D100" s="9" t="s">
        <v>1684</v>
      </c>
    </row>
    <row r="101" s="9" customFormat="1" spans="1:4">
      <c r="A101" s="9" t="s">
        <v>1476</v>
      </c>
      <c r="B101" s="12">
        <v>2024</v>
      </c>
      <c r="C101" s="13" t="s">
        <v>356</v>
      </c>
      <c r="D101" s="9" t="s">
        <v>1685</v>
      </c>
    </row>
    <row r="102" s="9" customFormat="1" spans="1:4">
      <c r="A102" s="9" t="s">
        <v>1314</v>
      </c>
      <c r="B102" s="12">
        <v>2017</v>
      </c>
      <c r="C102" s="13" t="s">
        <v>825</v>
      </c>
      <c r="D102" s="9" t="s">
        <v>1686</v>
      </c>
    </row>
    <row r="103" s="9" customFormat="1" spans="1:4">
      <c r="A103" s="9" t="s">
        <v>1387</v>
      </c>
      <c r="B103" s="12">
        <v>2019</v>
      </c>
      <c r="C103" s="13" t="s">
        <v>126</v>
      </c>
      <c r="D103" s="9" t="s">
        <v>1687</v>
      </c>
    </row>
    <row r="104" s="9" customFormat="1" spans="1:4">
      <c r="A104" s="9" t="s">
        <v>1396</v>
      </c>
      <c r="B104" s="12">
        <v>2019</v>
      </c>
      <c r="C104" s="13" t="s">
        <v>574</v>
      </c>
      <c r="D104" s="9" t="s">
        <v>1688</v>
      </c>
    </row>
    <row r="105" s="9" customFormat="1" spans="1:4">
      <c r="A105" s="9" t="s">
        <v>1118</v>
      </c>
      <c r="B105" s="12">
        <v>2013</v>
      </c>
      <c r="C105" s="13" t="s">
        <v>401</v>
      </c>
      <c r="D105" s="9" t="s">
        <v>1689</v>
      </c>
    </row>
    <row r="106" s="9" customFormat="1" spans="1:4">
      <c r="A106" s="9" t="s">
        <v>1472</v>
      </c>
      <c r="B106" s="12">
        <v>2024</v>
      </c>
      <c r="C106" s="13" t="s">
        <v>713</v>
      </c>
      <c r="D106" s="9" t="s">
        <v>1690</v>
      </c>
    </row>
    <row r="107" s="9" customFormat="1" spans="1:4">
      <c r="A107" s="9" t="s">
        <v>1374</v>
      </c>
      <c r="B107" s="12">
        <v>2019</v>
      </c>
      <c r="C107" s="13" t="s">
        <v>68</v>
      </c>
      <c r="D107" s="9" t="s">
        <v>1691</v>
      </c>
    </row>
    <row r="108" s="9" customFormat="1" spans="1:4">
      <c r="A108" s="9" t="s">
        <v>1500</v>
      </c>
      <c r="B108" s="12">
        <v>2024</v>
      </c>
      <c r="C108" s="13" t="s">
        <v>358</v>
      </c>
      <c r="D108" s="9" t="s">
        <v>1692</v>
      </c>
    </row>
    <row r="109" s="9" customFormat="1" spans="1:4">
      <c r="A109" s="9" t="s">
        <v>1380</v>
      </c>
      <c r="B109" s="12">
        <v>2019</v>
      </c>
      <c r="C109" s="13" t="s">
        <v>72</v>
      </c>
      <c r="D109" s="9" t="s">
        <v>1693</v>
      </c>
    </row>
    <row r="110" s="9" customFormat="1" spans="1:4">
      <c r="A110" s="9" t="s">
        <v>985</v>
      </c>
      <c r="B110" s="12">
        <v>2010</v>
      </c>
      <c r="C110" s="13" t="s">
        <v>566</v>
      </c>
      <c r="D110" s="9" t="s">
        <v>1694</v>
      </c>
    </row>
    <row r="111" s="9" customFormat="1"/>
  </sheetData>
  <sortState ref="A2:D110">
    <sortCondition ref="D2"/>
  </sortState>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8"/>
  <sheetViews>
    <sheetView workbookViewId="0">
      <selection activeCell="E14" sqref="E14"/>
    </sheetView>
  </sheetViews>
  <sheetFormatPr defaultColWidth="8.72727272727273" defaultRowHeight="14"/>
  <cols>
    <col min="2" max="2" width="20.1818181818182" style="9" customWidth="1"/>
    <col min="3" max="3" width="52.9090909090909" style="9" customWidth="1"/>
  </cols>
  <sheetData>
    <row r="1" spans="1:11">
      <c r="A1" s="10" t="s">
        <v>890</v>
      </c>
      <c r="B1" s="11" t="s">
        <v>4</v>
      </c>
      <c r="C1" s="10" t="s">
        <v>899</v>
      </c>
    </row>
    <row r="2" spans="1:11">
      <c r="A2" t="s">
        <v>1157</v>
      </c>
      <c r="B2" s="12">
        <v>2014</v>
      </c>
      <c r="C2" s="13" t="s">
        <v>1161</v>
      </c>
    </row>
    <row r="3" spans="1:11">
      <c r="A3" t="s">
        <v>1352</v>
      </c>
      <c r="B3" s="12">
        <v>2019</v>
      </c>
      <c r="C3" s="13" t="s">
        <v>1161</v>
      </c>
      <c r="F3" s="9"/>
      <c r="G3" s="12"/>
      <c r="H3" s="13"/>
      <c r="I3" s="9"/>
      <c r="J3" s="9"/>
      <c r="K3" s="9"/>
    </row>
    <row r="4" spans="1:11">
      <c r="A4" t="s">
        <v>1453</v>
      </c>
      <c r="B4" s="12">
        <v>2022</v>
      </c>
      <c r="C4" s="13" t="s">
        <v>1161</v>
      </c>
      <c r="F4" s="9"/>
      <c r="G4" s="12"/>
      <c r="H4" s="13"/>
      <c r="I4" s="9"/>
      <c r="J4" s="9"/>
      <c r="K4" s="9"/>
    </row>
    <row r="5" spans="1:11">
      <c r="A5" t="s">
        <v>1468</v>
      </c>
      <c r="B5" s="12">
        <v>2023</v>
      </c>
      <c r="C5" s="13" t="s">
        <v>1161</v>
      </c>
      <c r="F5" s="9"/>
      <c r="G5" s="12"/>
      <c r="H5" s="13"/>
      <c r="I5" s="9"/>
      <c r="J5" s="9"/>
      <c r="K5" s="9"/>
    </row>
    <row r="6" spans="1:11">
      <c r="A6" t="s">
        <v>1014</v>
      </c>
      <c r="B6" s="12">
        <v>2011</v>
      </c>
      <c r="C6" s="13" t="s">
        <v>1019</v>
      </c>
      <c r="F6" s="9"/>
      <c r="G6" s="12"/>
      <c r="H6" s="9"/>
      <c r="I6" s="9"/>
      <c r="J6" s="9"/>
      <c r="K6" s="9"/>
    </row>
    <row r="7" spans="1:11">
      <c r="A7" t="s">
        <v>1214</v>
      </c>
      <c r="B7" s="12">
        <v>2015</v>
      </c>
      <c r="C7" s="13" t="s">
        <v>1019</v>
      </c>
      <c r="F7" s="9"/>
      <c r="G7" s="12"/>
      <c r="H7" s="13"/>
      <c r="I7" s="9"/>
      <c r="J7" s="9"/>
      <c r="K7" s="9"/>
    </row>
    <row r="8" spans="1:11">
      <c r="A8" t="s">
        <v>1314</v>
      </c>
      <c r="B8" s="12">
        <v>2017</v>
      </c>
      <c r="C8" s="13" t="s">
        <v>1019</v>
      </c>
      <c r="F8" s="17"/>
      <c r="G8" s="15"/>
      <c r="H8" s="16"/>
      <c r="I8" s="9"/>
      <c r="J8" s="9"/>
      <c r="K8" s="9"/>
    </row>
    <row r="9" spans="1:11">
      <c r="A9" t="s">
        <v>980</v>
      </c>
      <c r="B9" s="12">
        <v>2010</v>
      </c>
      <c r="C9" s="13" t="s">
        <v>983</v>
      </c>
      <c r="F9" s="9"/>
      <c r="G9" s="12"/>
      <c r="H9" s="13"/>
      <c r="I9" s="9"/>
      <c r="J9" s="9"/>
      <c r="K9" s="9"/>
    </row>
    <row r="10" spans="1:11">
      <c r="A10" t="s">
        <v>1086</v>
      </c>
      <c r="B10" s="12">
        <v>2012</v>
      </c>
      <c r="C10" s="13" t="s">
        <v>983</v>
      </c>
      <c r="F10" s="9"/>
      <c r="G10" s="12"/>
      <c r="H10" s="13"/>
      <c r="I10" s="9"/>
      <c r="J10" s="9"/>
      <c r="K10" s="9"/>
    </row>
    <row r="11" s="9" customFormat="1" spans="1:11">
      <c r="A11" t="s">
        <v>1163</v>
      </c>
      <c r="B11" s="12">
        <v>2014</v>
      </c>
      <c r="C11" s="13" t="s">
        <v>983</v>
      </c>
      <c r="G11" s="12"/>
      <c r="H11" s="13"/>
    </row>
    <row r="12" spans="1:11">
      <c r="A12" t="s">
        <v>940</v>
      </c>
      <c r="B12" s="12">
        <v>2010</v>
      </c>
      <c r="C12" s="13" t="s">
        <v>946</v>
      </c>
      <c r="F12" s="9"/>
      <c r="G12" s="12"/>
      <c r="H12" s="13"/>
      <c r="I12" s="9"/>
      <c r="J12" s="9"/>
      <c r="K12" s="9"/>
    </row>
    <row r="13" spans="1:11">
      <c r="A13" t="s">
        <v>1294</v>
      </c>
      <c r="B13" s="12">
        <v>2017</v>
      </c>
      <c r="C13" s="13" t="s">
        <v>946</v>
      </c>
      <c r="F13" s="9"/>
      <c r="G13" s="12"/>
      <c r="H13" s="13"/>
      <c r="I13" s="9"/>
      <c r="J13" s="9"/>
      <c r="K13" s="9"/>
    </row>
    <row r="14" spans="1:11">
      <c r="A14" t="s">
        <v>1510</v>
      </c>
      <c r="B14" s="12">
        <v>2024</v>
      </c>
      <c r="C14" s="13" t="s">
        <v>946</v>
      </c>
      <c r="F14" s="9"/>
      <c r="G14" s="12"/>
      <c r="H14" s="13"/>
      <c r="I14" s="9"/>
      <c r="J14" s="9"/>
      <c r="K14" s="9"/>
    </row>
    <row r="15" spans="1:11">
      <c r="A15" t="s">
        <v>948</v>
      </c>
      <c r="B15" s="12">
        <v>2010</v>
      </c>
      <c r="C15" s="13" t="s">
        <v>953</v>
      </c>
      <c r="F15" s="9"/>
      <c r="G15" s="12"/>
      <c r="H15" s="13"/>
      <c r="I15" s="9"/>
      <c r="J15" s="9"/>
      <c r="K15" s="9"/>
    </row>
    <row r="16" spans="1:11">
      <c r="A16" t="s">
        <v>1021</v>
      </c>
      <c r="B16" s="12">
        <v>2011</v>
      </c>
      <c r="C16" s="13" t="s">
        <v>953</v>
      </c>
      <c r="F16" s="9"/>
      <c r="G16" s="12"/>
      <c r="H16" s="13"/>
      <c r="I16" s="9"/>
      <c r="J16" s="9"/>
      <c r="K16" s="9"/>
    </row>
    <row r="17" spans="1:11">
      <c r="A17" t="s">
        <v>1095</v>
      </c>
      <c r="B17" s="12">
        <v>2012</v>
      </c>
      <c r="C17" s="13" t="s">
        <v>953</v>
      </c>
      <c r="F17" s="9"/>
      <c r="G17" s="12"/>
      <c r="H17" s="13"/>
      <c r="I17" s="9"/>
      <c r="J17" s="9"/>
      <c r="K17" s="9"/>
    </row>
    <row r="18" spans="1:11">
      <c r="A18" t="s">
        <v>931</v>
      </c>
      <c r="B18" s="12">
        <v>2010</v>
      </c>
      <c r="C18" s="13" t="s">
        <v>1065</v>
      </c>
      <c r="F18" s="9"/>
      <c r="G18" s="12"/>
      <c r="H18" s="13"/>
      <c r="I18" s="9"/>
      <c r="J18" s="9"/>
      <c r="K18" s="9"/>
    </row>
    <row r="19" spans="1:11">
      <c r="A19" t="s">
        <v>1062</v>
      </c>
      <c r="B19" s="12">
        <v>2012</v>
      </c>
      <c r="C19" s="13" t="s">
        <v>1065</v>
      </c>
      <c r="F19" s="9"/>
      <c r="G19" s="12"/>
      <c r="H19" s="13"/>
      <c r="I19" s="9"/>
      <c r="J19" s="9"/>
      <c r="K19" s="9"/>
    </row>
    <row r="20" spans="1:11">
      <c r="A20" t="s">
        <v>1090</v>
      </c>
      <c r="B20" s="12">
        <v>2012</v>
      </c>
      <c r="C20" s="13" t="s">
        <v>1065</v>
      </c>
      <c r="F20" s="9"/>
      <c r="G20" s="12"/>
      <c r="H20" s="13"/>
      <c r="I20" s="9"/>
      <c r="J20" s="9"/>
      <c r="K20" s="9"/>
    </row>
    <row r="21" spans="1:11">
      <c r="A21" t="s">
        <v>1118</v>
      </c>
      <c r="B21" s="12">
        <v>2013</v>
      </c>
      <c r="C21" s="13" t="s">
        <v>1065</v>
      </c>
      <c r="F21" s="9"/>
      <c r="G21" s="12"/>
      <c r="H21" s="13"/>
      <c r="I21" s="9"/>
      <c r="J21" s="9"/>
      <c r="K21" s="9"/>
    </row>
    <row r="22" spans="1:11">
      <c r="A22" t="s">
        <v>1169</v>
      </c>
      <c r="B22" s="12">
        <v>2014</v>
      </c>
      <c r="C22" s="13" t="s">
        <v>1065</v>
      </c>
      <c r="F22" s="9"/>
      <c r="G22" s="12"/>
      <c r="H22" s="13"/>
      <c r="I22" s="9"/>
      <c r="J22" s="9"/>
      <c r="K22" s="9"/>
    </row>
    <row r="23" spans="1:11">
      <c r="A23" t="s">
        <v>1173</v>
      </c>
      <c r="B23" s="12">
        <v>2014</v>
      </c>
      <c r="C23" s="13" t="s">
        <v>1065</v>
      </c>
      <c r="F23" s="9"/>
      <c r="G23" s="12"/>
      <c r="H23" s="13"/>
      <c r="I23" s="9"/>
      <c r="J23" s="9"/>
      <c r="K23" s="9"/>
    </row>
    <row r="24" spans="1:11">
      <c r="A24" t="s">
        <v>1374</v>
      </c>
      <c r="B24" s="12">
        <v>2019</v>
      </c>
      <c r="C24" s="13" t="s">
        <v>1065</v>
      </c>
      <c r="F24" s="9"/>
      <c r="G24" s="12"/>
      <c r="H24" s="13"/>
      <c r="I24" s="9"/>
      <c r="J24" s="9"/>
      <c r="K24" s="9"/>
    </row>
    <row r="25" spans="1:11">
      <c r="A25" t="s">
        <v>1380</v>
      </c>
      <c r="B25" s="12">
        <v>2019</v>
      </c>
      <c r="C25" s="13" t="s">
        <v>1065</v>
      </c>
      <c r="F25" s="9"/>
      <c r="G25" s="12"/>
      <c r="H25" s="13"/>
      <c r="I25" s="9"/>
      <c r="J25" s="9"/>
      <c r="K25" s="9"/>
    </row>
    <row r="26" spans="1:11">
      <c r="A26" t="s">
        <v>1425</v>
      </c>
      <c r="B26" s="12">
        <v>2021</v>
      </c>
      <c r="C26" s="13" t="s">
        <v>1065</v>
      </c>
      <c r="F26" s="13"/>
      <c r="G26" s="12"/>
      <c r="H26" s="13"/>
      <c r="I26" s="9"/>
      <c r="J26" s="9"/>
      <c r="K26" s="9"/>
    </row>
    <row r="27" spans="1:11">
      <c r="A27" t="s">
        <v>1448</v>
      </c>
      <c r="B27" s="12">
        <v>2022</v>
      </c>
      <c r="C27" s="13" t="s">
        <v>1065</v>
      </c>
      <c r="F27" s="13"/>
      <c r="G27" s="12"/>
      <c r="H27" s="13"/>
      <c r="I27" s="9"/>
      <c r="J27" s="9"/>
      <c r="K27" s="9"/>
    </row>
    <row r="28" spans="1:11">
      <c r="A28" t="s">
        <v>1493</v>
      </c>
      <c r="B28" s="12">
        <v>2024</v>
      </c>
      <c r="C28" s="13" t="s">
        <v>1065</v>
      </c>
      <c r="F28" s="13"/>
      <c r="G28" s="12"/>
      <c r="H28" s="13"/>
      <c r="I28" s="9"/>
      <c r="J28" s="9"/>
      <c r="K28" s="9"/>
    </row>
    <row r="29" spans="1:11">
      <c r="A29" t="s">
        <v>903</v>
      </c>
      <c r="B29" s="12">
        <v>2010</v>
      </c>
      <c r="C29" s="13" t="s">
        <v>911</v>
      </c>
      <c r="F29" s="13"/>
      <c r="G29" s="12"/>
      <c r="H29" s="13"/>
      <c r="I29" s="9"/>
      <c r="J29" s="9"/>
      <c r="K29" s="9"/>
    </row>
    <row r="30" spans="1:11">
      <c r="A30" t="s">
        <v>1136</v>
      </c>
      <c r="B30" s="12">
        <v>2013</v>
      </c>
      <c r="C30" s="13" t="s">
        <v>911</v>
      </c>
      <c r="F30" s="13"/>
      <c r="G30" s="12"/>
      <c r="H30" s="13"/>
      <c r="I30" s="9"/>
      <c r="J30" s="9"/>
      <c r="K30" s="9"/>
    </row>
    <row r="31" spans="1:11">
      <c r="A31" t="s">
        <v>1290</v>
      </c>
      <c r="B31" s="12">
        <v>2017</v>
      </c>
      <c r="C31" s="13" t="s">
        <v>911</v>
      </c>
      <c r="F31" s="13"/>
      <c r="G31" s="12"/>
      <c r="H31" s="13"/>
      <c r="I31" s="9"/>
      <c r="J31" s="9"/>
      <c r="K31" s="9"/>
    </row>
    <row r="32" spans="1:11">
      <c r="A32" t="s">
        <v>1124</v>
      </c>
      <c r="B32" s="12">
        <v>2013</v>
      </c>
      <c r="C32" s="13" t="s">
        <v>1128</v>
      </c>
      <c r="F32" s="13"/>
      <c r="G32" s="12"/>
      <c r="H32" s="13"/>
      <c r="I32" s="9"/>
      <c r="J32" s="9"/>
      <c r="K32" s="9"/>
    </row>
    <row r="33" spans="1:11">
      <c r="A33" t="s">
        <v>1184</v>
      </c>
      <c r="B33" s="12">
        <v>2014</v>
      </c>
      <c r="C33" s="13" t="s">
        <v>1128</v>
      </c>
      <c r="F33" s="13"/>
      <c r="G33" s="12"/>
      <c r="H33" s="13"/>
      <c r="I33" s="9"/>
      <c r="J33" s="9"/>
      <c r="K33" s="9"/>
    </row>
    <row r="34" spans="1:11">
      <c r="A34" t="s">
        <v>1243</v>
      </c>
      <c r="B34" s="12">
        <v>2015</v>
      </c>
      <c r="C34" s="13" t="s">
        <v>1128</v>
      </c>
      <c r="F34" s="13"/>
      <c r="G34" s="12"/>
      <c r="H34" s="13"/>
      <c r="I34" s="9"/>
      <c r="J34" s="9"/>
      <c r="K34" s="9"/>
    </row>
    <row r="35" spans="1:11">
      <c r="A35" t="s">
        <v>1259</v>
      </c>
      <c r="B35" s="12">
        <v>2016</v>
      </c>
      <c r="C35" s="13" t="s">
        <v>1128</v>
      </c>
      <c r="F35" s="13"/>
      <c r="G35" s="12"/>
      <c r="H35" s="13"/>
      <c r="I35" s="9"/>
      <c r="J35" s="9"/>
      <c r="K35" s="9"/>
    </row>
    <row r="36" spans="1:11">
      <c r="A36" t="s">
        <v>1363</v>
      </c>
      <c r="B36" s="12">
        <v>2019</v>
      </c>
      <c r="C36" s="13" t="s">
        <v>1128</v>
      </c>
      <c r="F36" s="13"/>
      <c r="G36" s="12"/>
      <c r="H36" s="13"/>
      <c r="I36" s="9"/>
      <c r="J36" s="9"/>
      <c r="K36" s="9"/>
    </row>
    <row r="37" spans="1:11">
      <c r="A37" t="s">
        <v>971</v>
      </c>
      <c r="B37" s="12">
        <v>2010</v>
      </c>
      <c r="C37" s="13" t="s">
        <v>978</v>
      </c>
      <c r="F37" s="13"/>
      <c r="G37" s="12"/>
      <c r="H37" s="13"/>
      <c r="I37" s="9"/>
      <c r="J37" s="9"/>
      <c r="K37" s="9"/>
    </row>
    <row r="38" spans="1:11">
      <c r="A38" t="s">
        <v>993</v>
      </c>
      <c r="B38" s="12">
        <v>2010</v>
      </c>
      <c r="C38" s="13" t="s">
        <v>978</v>
      </c>
      <c r="F38" s="13"/>
      <c r="G38" s="12"/>
      <c r="H38" s="13"/>
      <c r="I38" s="9"/>
      <c r="J38" s="9"/>
      <c r="K38" s="9"/>
    </row>
    <row r="39" spans="1:11">
      <c r="A39" t="s">
        <v>1026</v>
      </c>
      <c r="B39" s="12">
        <v>2011</v>
      </c>
      <c r="C39" s="13" t="s">
        <v>978</v>
      </c>
      <c r="F39" s="13"/>
      <c r="G39" s="12"/>
      <c r="H39" s="13"/>
      <c r="I39" s="9"/>
      <c r="J39" s="9"/>
      <c r="K39" s="9"/>
    </row>
    <row r="40" spans="1:11">
      <c r="A40" t="s">
        <v>1199</v>
      </c>
      <c r="B40" s="12">
        <v>2014</v>
      </c>
      <c r="C40" s="13" t="s">
        <v>978</v>
      </c>
      <c r="F40" s="9"/>
      <c r="G40" s="12"/>
      <c r="H40" s="13"/>
      <c r="I40" s="9"/>
      <c r="J40" s="9"/>
      <c r="K40" s="9"/>
    </row>
    <row r="41" spans="1:11">
      <c r="A41" t="s">
        <v>1228</v>
      </c>
      <c r="B41" s="12">
        <v>2015</v>
      </c>
      <c r="C41" s="13" t="s">
        <v>978</v>
      </c>
      <c r="F41" s="9"/>
      <c r="G41" s="12"/>
      <c r="H41" s="13"/>
      <c r="I41" s="9"/>
      <c r="J41" s="9"/>
      <c r="K41" s="9"/>
    </row>
    <row r="42" spans="1:11">
      <c r="A42" t="s">
        <v>1274</v>
      </c>
      <c r="B42" s="12">
        <v>2016</v>
      </c>
      <c r="C42" s="13" t="s">
        <v>978</v>
      </c>
      <c r="F42" s="9"/>
      <c r="G42" s="12"/>
      <c r="H42" s="13"/>
      <c r="I42" s="9"/>
      <c r="J42" s="9"/>
      <c r="K42" s="9"/>
    </row>
    <row r="43" spans="1:11">
      <c r="A43" t="s">
        <v>1387</v>
      </c>
      <c r="B43" s="12">
        <v>2019</v>
      </c>
      <c r="C43" s="13" t="s">
        <v>978</v>
      </c>
      <c r="F43" s="9"/>
      <c r="G43" s="12"/>
      <c r="H43" s="13"/>
      <c r="I43" s="9"/>
      <c r="J43" s="9"/>
      <c r="K43" s="9"/>
    </row>
    <row r="44" spans="1:11">
      <c r="A44" t="s">
        <v>1488</v>
      </c>
      <c r="B44" s="12">
        <v>2024</v>
      </c>
      <c r="C44" s="13" t="s">
        <v>978</v>
      </c>
      <c r="F44" s="9"/>
      <c r="G44" s="12"/>
      <c r="H44" s="13"/>
      <c r="I44" s="9"/>
      <c r="J44" s="9"/>
      <c r="K44" s="9"/>
    </row>
    <row r="45" spans="1:11">
      <c r="A45" t="s">
        <v>1500</v>
      </c>
      <c r="B45" s="12">
        <v>2024</v>
      </c>
      <c r="C45" s="13" t="s">
        <v>978</v>
      </c>
    </row>
    <row r="46" spans="1:11">
      <c r="A46" t="s">
        <v>1476</v>
      </c>
      <c r="B46" s="12">
        <v>2024</v>
      </c>
      <c r="C46" s="13" t="s">
        <v>978</v>
      </c>
    </row>
    <row r="47" spans="1:11">
      <c r="A47" t="s">
        <v>1006</v>
      </c>
      <c r="B47" s="12">
        <v>2011</v>
      </c>
      <c r="C47" s="13" t="s">
        <v>1011</v>
      </c>
    </row>
    <row r="48" spans="1:11">
      <c r="A48" t="s">
        <v>1130</v>
      </c>
      <c r="B48" s="12">
        <v>2013</v>
      </c>
      <c r="C48" s="13" t="s">
        <v>1011</v>
      </c>
    </row>
    <row r="49" spans="1:3">
      <c r="A49" t="s">
        <v>1203</v>
      </c>
      <c r="B49" s="12">
        <v>2015</v>
      </c>
      <c r="C49" s="13" t="s">
        <v>1011</v>
      </c>
    </row>
    <row r="50" spans="1:3">
      <c r="A50" t="s">
        <v>1233</v>
      </c>
      <c r="B50" s="12">
        <v>2015</v>
      </c>
      <c r="C50" s="13" t="s">
        <v>1011</v>
      </c>
    </row>
    <row r="51" spans="1:3">
      <c r="A51" t="s">
        <v>1358</v>
      </c>
      <c r="B51" s="12">
        <v>2019</v>
      </c>
      <c r="C51" s="13" t="s">
        <v>1011</v>
      </c>
    </row>
    <row r="52" spans="1:3">
      <c r="A52" t="s">
        <v>1392</v>
      </c>
      <c r="B52" s="12">
        <v>2019</v>
      </c>
      <c r="C52" s="13" t="s">
        <v>1011</v>
      </c>
    </row>
    <row r="53" spans="1:3">
      <c r="A53" t="s">
        <v>1396</v>
      </c>
      <c r="B53" s="12">
        <v>2019</v>
      </c>
      <c r="C53" s="13" t="s">
        <v>1011</v>
      </c>
    </row>
    <row r="54" spans="1:3">
      <c r="A54" t="s">
        <v>1414</v>
      </c>
      <c r="B54" s="12">
        <v>2021</v>
      </c>
      <c r="C54" s="13" t="s">
        <v>1011</v>
      </c>
    </row>
    <row r="55" spans="1:3">
      <c r="A55" t="s">
        <v>1038</v>
      </c>
      <c r="B55" s="12">
        <v>2011</v>
      </c>
      <c r="C55" s="13" t="s">
        <v>1042</v>
      </c>
    </row>
    <row r="56" spans="1:3">
      <c r="A56" t="s">
        <v>1099</v>
      </c>
      <c r="B56" s="12">
        <v>2012</v>
      </c>
      <c r="C56" s="13" t="s">
        <v>1042</v>
      </c>
    </row>
    <row r="57" spans="1:3">
      <c r="A57" t="s">
        <v>1188</v>
      </c>
      <c r="B57" s="12">
        <v>2014</v>
      </c>
      <c r="C57" s="13" t="s">
        <v>1042</v>
      </c>
    </row>
    <row r="58" spans="1:3">
      <c r="A58" t="s">
        <v>1323</v>
      </c>
      <c r="B58" s="12">
        <v>2017</v>
      </c>
      <c r="C58" s="13" t="s">
        <v>1042</v>
      </c>
    </row>
    <row r="59" spans="1:3">
      <c r="A59" t="s">
        <v>1347</v>
      </c>
      <c r="B59" s="12">
        <v>2019</v>
      </c>
      <c r="C59" s="13" t="s">
        <v>1042</v>
      </c>
    </row>
    <row r="60" spans="1:3">
      <c r="A60" t="s">
        <v>1178</v>
      </c>
      <c r="B60" s="12">
        <v>2014</v>
      </c>
      <c r="C60" s="13" t="s">
        <v>1181</v>
      </c>
    </row>
    <row r="61" spans="1:3">
      <c r="A61" t="s">
        <v>1209</v>
      </c>
      <c r="B61" s="12">
        <v>2015</v>
      </c>
      <c r="C61" s="13" t="s">
        <v>1181</v>
      </c>
    </row>
    <row r="62" spans="1:3">
      <c r="A62" t="s">
        <v>1238</v>
      </c>
      <c r="B62" s="12">
        <v>2015</v>
      </c>
      <c r="C62" s="13" t="s">
        <v>1181</v>
      </c>
    </row>
    <row r="63" spans="1:3">
      <c r="A63" t="s">
        <v>1278</v>
      </c>
      <c r="B63" s="12">
        <v>2017</v>
      </c>
      <c r="C63" s="13" t="s">
        <v>1181</v>
      </c>
    </row>
    <row r="64" spans="1:3">
      <c r="A64" t="s">
        <v>1404</v>
      </c>
      <c r="B64" s="12">
        <v>2020</v>
      </c>
      <c r="C64" s="13" t="s">
        <v>1181</v>
      </c>
    </row>
    <row r="65" spans="1:3">
      <c r="A65" t="s">
        <v>1044</v>
      </c>
      <c r="B65" s="15">
        <v>2011</v>
      </c>
      <c r="C65" s="16" t="s">
        <v>1050</v>
      </c>
    </row>
    <row r="66" spans="1:3">
      <c r="A66" t="s">
        <v>1152</v>
      </c>
      <c r="B66" s="12">
        <v>2014</v>
      </c>
      <c r="C66" s="13" t="s">
        <v>1050</v>
      </c>
    </row>
    <row r="67" spans="1:3">
      <c r="A67" t="s">
        <v>1308</v>
      </c>
      <c r="B67" s="12">
        <v>2017</v>
      </c>
      <c r="C67" s="13" t="s">
        <v>1050</v>
      </c>
    </row>
    <row r="68" spans="1:3">
      <c r="A68" t="s">
        <v>1483</v>
      </c>
      <c r="B68" s="12">
        <v>2024</v>
      </c>
      <c r="C68" s="13" t="s">
        <v>1050</v>
      </c>
    </row>
    <row r="88" spans="1:1">
      <c r="A88" s="9"/>
    </row>
  </sheetData>
  <sortState ref="A2:C110">
    <sortCondition ref="C2"/>
  </sortState>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8"/>
  <sheetViews>
    <sheetView workbookViewId="0">
      <selection activeCell="O16" sqref="O16"/>
    </sheetView>
  </sheetViews>
  <sheetFormatPr defaultColWidth="8.72727272727273" defaultRowHeight="14" outlineLevelCol="3"/>
  <cols>
    <col min="2" max="2" width="20.1818181818182" style="9" customWidth="1"/>
    <col min="3" max="3" width="52.9090909090909" style="9" customWidth="1"/>
  </cols>
  <sheetData>
    <row r="1" spans="1:4">
      <c r="A1" s="10" t="s">
        <v>890</v>
      </c>
      <c r="B1" s="11" t="s">
        <v>4</v>
      </c>
      <c r="C1" s="10" t="s">
        <v>1695</v>
      </c>
      <c r="D1" s="10" t="s">
        <v>899</v>
      </c>
    </row>
    <row r="2" spans="1:4">
      <c r="A2" t="s">
        <v>1157</v>
      </c>
      <c r="B2" s="12">
        <v>2014</v>
      </c>
      <c r="C2" s="13" t="s">
        <v>1161</v>
      </c>
      <c r="D2" t="s">
        <v>1696</v>
      </c>
    </row>
    <row r="3" spans="1:4">
      <c r="A3" t="s">
        <v>1352</v>
      </c>
      <c r="B3" s="12">
        <v>2019</v>
      </c>
      <c r="C3" s="13" t="s">
        <v>1161</v>
      </c>
      <c r="D3" t="s">
        <v>1696</v>
      </c>
    </row>
    <row r="4" spans="1:4">
      <c r="A4" t="s">
        <v>1453</v>
      </c>
      <c r="B4" s="12">
        <v>2022</v>
      </c>
      <c r="C4" s="13" t="s">
        <v>1161</v>
      </c>
      <c r="D4" t="s">
        <v>1696</v>
      </c>
    </row>
    <row r="5" spans="1:4">
      <c r="A5" t="s">
        <v>1468</v>
      </c>
      <c r="B5" s="12">
        <v>2023</v>
      </c>
      <c r="C5" s="13" t="s">
        <v>1161</v>
      </c>
      <c r="D5" t="s">
        <v>1696</v>
      </c>
    </row>
    <row r="6" spans="1:4">
      <c r="A6" t="s">
        <v>1014</v>
      </c>
      <c r="B6" s="12">
        <v>2011</v>
      </c>
      <c r="C6" s="13" t="s">
        <v>1019</v>
      </c>
      <c r="D6" s="13" t="s">
        <v>1019</v>
      </c>
    </row>
    <row r="7" spans="1:4">
      <c r="A7" t="s">
        <v>1214</v>
      </c>
      <c r="B7" s="12">
        <v>2015</v>
      </c>
      <c r="C7" s="13" t="s">
        <v>1019</v>
      </c>
      <c r="D7" s="13" t="s">
        <v>1019</v>
      </c>
    </row>
    <row r="8" spans="1:4">
      <c r="A8" t="s">
        <v>1314</v>
      </c>
      <c r="B8" s="12">
        <v>2017</v>
      </c>
      <c r="C8" s="13" t="s">
        <v>1019</v>
      </c>
      <c r="D8" s="13" t="s">
        <v>1019</v>
      </c>
    </row>
    <row r="9" spans="1:4">
      <c r="A9" t="s">
        <v>980</v>
      </c>
      <c r="B9" s="12">
        <v>2010</v>
      </c>
      <c r="C9" s="13" t="s">
        <v>983</v>
      </c>
      <c r="D9" t="s">
        <v>1696</v>
      </c>
    </row>
    <row r="10" spans="1:4">
      <c r="A10" t="s">
        <v>1086</v>
      </c>
      <c r="B10" s="12">
        <v>2012</v>
      </c>
      <c r="C10" s="13" t="s">
        <v>983</v>
      </c>
      <c r="D10" t="s">
        <v>1696</v>
      </c>
    </row>
    <row r="11" spans="1:4">
      <c r="A11" t="s">
        <v>1163</v>
      </c>
      <c r="B11" s="12">
        <v>2014</v>
      </c>
      <c r="C11" s="13" t="s">
        <v>983</v>
      </c>
      <c r="D11" t="s">
        <v>1696</v>
      </c>
    </row>
    <row r="12" spans="1:4">
      <c r="A12" t="s">
        <v>940</v>
      </c>
      <c r="B12" s="12">
        <v>2010</v>
      </c>
      <c r="C12" s="13" t="s">
        <v>946</v>
      </c>
      <c r="D12" t="s">
        <v>1696</v>
      </c>
    </row>
    <row r="13" spans="1:4">
      <c r="A13" t="s">
        <v>1294</v>
      </c>
      <c r="B13" s="12">
        <v>2017</v>
      </c>
      <c r="C13" s="13" t="s">
        <v>946</v>
      </c>
      <c r="D13" t="s">
        <v>1696</v>
      </c>
    </row>
    <row r="14" spans="1:4">
      <c r="A14" t="s">
        <v>1510</v>
      </c>
      <c r="B14" s="12">
        <v>2024</v>
      </c>
      <c r="C14" s="13" t="s">
        <v>946</v>
      </c>
      <c r="D14" t="s">
        <v>1696</v>
      </c>
    </row>
    <row r="15" spans="1:4">
      <c r="A15" t="s">
        <v>948</v>
      </c>
      <c r="B15" s="12">
        <v>2010</v>
      </c>
      <c r="C15" s="13" t="s">
        <v>953</v>
      </c>
      <c r="D15" t="s">
        <v>1697</v>
      </c>
    </row>
    <row r="16" spans="1:4">
      <c r="A16" t="s">
        <v>1021</v>
      </c>
      <c r="B16" s="12">
        <v>2011</v>
      </c>
      <c r="C16" s="13" t="s">
        <v>953</v>
      </c>
      <c r="D16" t="s">
        <v>1697</v>
      </c>
    </row>
    <row r="17" spans="1:4">
      <c r="A17" t="s">
        <v>1095</v>
      </c>
      <c r="B17" s="12">
        <v>2012</v>
      </c>
      <c r="C17" s="13" t="s">
        <v>953</v>
      </c>
      <c r="D17" t="s">
        <v>1697</v>
      </c>
    </row>
    <row r="18" spans="1:4">
      <c r="A18" t="s">
        <v>931</v>
      </c>
      <c r="B18" s="12">
        <v>2010</v>
      </c>
      <c r="C18" s="13" t="s">
        <v>1065</v>
      </c>
      <c r="D18" t="s">
        <v>1697</v>
      </c>
    </row>
    <row r="19" spans="1:4">
      <c r="A19" t="s">
        <v>1062</v>
      </c>
      <c r="B19" s="12">
        <v>2012</v>
      </c>
      <c r="C19" s="13" t="s">
        <v>1065</v>
      </c>
      <c r="D19" t="s">
        <v>1697</v>
      </c>
    </row>
    <row r="20" spans="1:4">
      <c r="A20" t="s">
        <v>1090</v>
      </c>
      <c r="B20" s="12">
        <v>2012</v>
      </c>
      <c r="C20" s="13" t="s">
        <v>1065</v>
      </c>
      <c r="D20" t="s">
        <v>1697</v>
      </c>
    </row>
    <row r="21" spans="1:4">
      <c r="A21" t="s">
        <v>1118</v>
      </c>
      <c r="B21" s="12">
        <v>2013</v>
      </c>
      <c r="C21" s="13" t="s">
        <v>1065</v>
      </c>
      <c r="D21" t="s">
        <v>1697</v>
      </c>
    </row>
    <row r="22" spans="1:4">
      <c r="A22" t="s">
        <v>1169</v>
      </c>
      <c r="B22" s="12">
        <v>2014</v>
      </c>
      <c r="C22" s="13" t="s">
        <v>1065</v>
      </c>
      <c r="D22" t="s">
        <v>1697</v>
      </c>
    </row>
    <row r="23" spans="1:4">
      <c r="A23" t="s">
        <v>1173</v>
      </c>
      <c r="B23" s="12">
        <v>2014</v>
      </c>
      <c r="C23" s="13" t="s">
        <v>1065</v>
      </c>
      <c r="D23" t="s">
        <v>1697</v>
      </c>
    </row>
    <row r="24" spans="1:4">
      <c r="A24" t="s">
        <v>1374</v>
      </c>
      <c r="B24" s="12">
        <v>2019</v>
      </c>
      <c r="C24" s="13" t="s">
        <v>1065</v>
      </c>
      <c r="D24" t="s">
        <v>1697</v>
      </c>
    </row>
    <row r="25" spans="1:4">
      <c r="A25" t="s">
        <v>1380</v>
      </c>
      <c r="B25" s="12">
        <v>2019</v>
      </c>
      <c r="C25" s="13" t="s">
        <v>1065</v>
      </c>
      <c r="D25" t="s">
        <v>1697</v>
      </c>
    </row>
    <row r="26" spans="1:4">
      <c r="A26" t="s">
        <v>1425</v>
      </c>
      <c r="B26" s="12">
        <v>2021</v>
      </c>
      <c r="C26" s="13" t="s">
        <v>1065</v>
      </c>
      <c r="D26" t="s">
        <v>1697</v>
      </c>
    </row>
    <row r="27" spans="1:4">
      <c r="A27" t="s">
        <v>1448</v>
      </c>
      <c r="B27" s="12">
        <v>2022</v>
      </c>
      <c r="C27" s="13" t="s">
        <v>1065</v>
      </c>
      <c r="D27" t="s">
        <v>1697</v>
      </c>
    </row>
    <row r="28" spans="1:4">
      <c r="A28" t="s">
        <v>1493</v>
      </c>
      <c r="B28" s="12">
        <v>2024</v>
      </c>
      <c r="C28" s="13" t="s">
        <v>1065</v>
      </c>
      <c r="D28" t="s">
        <v>1697</v>
      </c>
    </row>
    <row r="29" spans="1:4">
      <c r="A29" t="s">
        <v>903</v>
      </c>
      <c r="B29" s="12">
        <v>2010</v>
      </c>
      <c r="C29" s="13" t="s">
        <v>911</v>
      </c>
      <c r="D29" s="13" t="s">
        <v>911</v>
      </c>
    </row>
    <row r="30" spans="1:4">
      <c r="A30" t="s">
        <v>1136</v>
      </c>
      <c r="B30" s="12">
        <v>2013</v>
      </c>
      <c r="C30" s="13" t="s">
        <v>911</v>
      </c>
      <c r="D30" s="13" t="s">
        <v>911</v>
      </c>
    </row>
    <row r="31" spans="1:4">
      <c r="A31" t="s">
        <v>1290</v>
      </c>
      <c r="B31" s="12">
        <v>2017</v>
      </c>
      <c r="C31" s="13" t="s">
        <v>911</v>
      </c>
      <c r="D31" s="13" t="s">
        <v>911</v>
      </c>
    </row>
    <row r="32" spans="1:4">
      <c r="A32" t="s">
        <v>1124</v>
      </c>
      <c r="B32" s="12">
        <v>2013</v>
      </c>
      <c r="C32" s="13" t="s">
        <v>1128</v>
      </c>
      <c r="D32" s="13" t="s">
        <v>1698</v>
      </c>
    </row>
    <row r="33" spans="1:4">
      <c r="A33" t="s">
        <v>1184</v>
      </c>
      <c r="B33" s="12">
        <v>2014</v>
      </c>
      <c r="C33" s="13" t="s">
        <v>1128</v>
      </c>
      <c r="D33" s="13" t="s">
        <v>1698</v>
      </c>
    </row>
    <row r="34" spans="1:4">
      <c r="A34" t="s">
        <v>1243</v>
      </c>
      <c r="B34" s="12">
        <v>2015</v>
      </c>
      <c r="C34" s="13" t="s">
        <v>1128</v>
      </c>
      <c r="D34" s="13" t="s">
        <v>1698</v>
      </c>
    </row>
    <row r="35" spans="1:4">
      <c r="A35" t="s">
        <v>1259</v>
      </c>
      <c r="B35" s="12">
        <v>2016</v>
      </c>
      <c r="C35" s="13" t="s">
        <v>1128</v>
      </c>
      <c r="D35" s="13" t="s">
        <v>1698</v>
      </c>
    </row>
    <row r="36" spans="1:4">
      <c r="A36" t="s">
        <v>1363</v>
      </c>
      <c r="B36" s="12">
        <v>2019</v>
      </c>
      <c r="C36" s="13" t="s">
        <v>1128</v>
      </c>
      <c r="D36" s="13" t="s">
        <v>1698</v>
      </c>
    </row>
    <row r="37" spans="1:4">
      <c r="A37" t="s">
        <v>971</v>
      </c>
      <c r="B37" s="12">
        <v>2010</v>
      </c>
      <c r="C37" s="13" t="s">
        <v>978</v>
      </c>
      <c r="D37" t="s">
        <v>1699</v>
      </c>
    </row>
    <row r="38" spans="1:4">
      <c r="A38" t="s">
        <v>993</v>
      </c>
      <c r="B38" s="12">
        <v>2010</v>
      </c>
      <c r="C38" s="13" t="s">
        <v>978</v>
      </c>
      <c r="D38" t="s">
        <v>1699</v>
      </c>
    </row>
    <row r="39" spans="1:4">
      <c r="A39" t="s">
        <v>1026</v>
      </c>
      <c r="B39" s="12">
        <v>2011</v>
      </c>
      <c r="C39" s="13" t="s">
        <v>978</v>
      </c>
      <c r="D39" t="s">
        <v>1699</v>
      </c>
    </row>
    <row r="40" spans="1:4">
      <c r="A40" t="s">
        <v>1199</v>
      </c>
      <c r="B40" s="12">
        <v>2014</v>
      </c>
      <c r="C40" s="13" t="s">
        <v>978</v>
      </c>
      <c r="D40" t="s">
        <v>1699</v>
      </c>
    </row>
    <row r="41" spans="1:4">
      <c r="A41" t="s">
        <v>1228</v>
      </c>
      <c r="B41" s="12">
        <v>2015</v>
      </c>
      <c r="C41" s="13" t="s">
        <v>978</v>
      </c>
      <c r="D41" t="s">
        <v>1699</v>
      </c>
    </row>
    <row r="42" spans="1:4">
      <c r="A42" t="s">
        <v>1274</v>
      </c>
      <c r="B42" s="12">
        <v>2016</v>
      </c>
      <c r="C42" s="13" t="s">
        <v>978</v>
      </c>
      <c r="D42" t="s">
        <v>1699</v>
      </c>
    </row>
    <row r="43" spans="1:4">
      <c r="A43" t="s">
        <v>1387</v>
      </c>
      <c r="B43" s="12">
        <v>2019</v>
      </c>
      <c r="C43" s="13" t="s">
        <v>978</v>
      </c>
      <c r="D43" t="s">
        <v>1699</v>
      </c>
    </row>
    <row r="44" spans="1:4">
      <c r="A44" t="s">
        <v>1488</v>
      </c>
      <c r="B44" s="12">
        <v>2024</v>
      </c>
      <c r="C44" s="13" t="s">
        <v>978</v>
      </c>
      <c r="D44" t="s">
        <v>1699</v>
      </c>
    </row>
    <row r="45" spans="1:4">
      <c r="A45" t="s">
        <v>1500</v>
      </c>
      <c r="B45" s="12">
        <v>2024</v>
      </c>
      <c r="C45" s="13" t="s">
        <v>978</v>
      </c>
      <c r="D45" t="s">
        <v>1699</v>
      </c>
    </row>
    <row r="46" spans="1:4">
      <c r="A46" t="s">
        <v>1476</v>
      </c>
      <c r="B46" s="12">
        <v>2024</v>
      </c>
      <c r="C46" s="13" t="s">
        <v>978</v>
      </c>
      <c r="D46" t="s">
        <v>1699</v>
      </c>
    </row>
    <row r="47" spans="1:4">
      <c r="A47" t="s">
        <v>1006</v>
      </c>
      <c r="B47" s="12">
        <v>2011</v>
      </c>
      <c r="C47" s="13" t="s">
        <v>1011</v>
      </c>
      <c r="D47" t="s">
        <v>1699</v>
      </c>
    </row>
    <row r="48" spans="1:4">
      <c r="A48" t="s">
        <v>1130</v>
      </c>
      <c r="B48" s="12">
        <v>2013</v>
      </c>
      <c r="C48" s="13" t="s">
        <v>1011</v>
      </c>
      <c r="D48" t="s">
        <v>1699</v>
      </c>
    </row>
    <row r="49" spans="1:4">
      <c r="A49" t="s">
        <v>1203</v>
      </c>
      <c r="B49" s="12">
        <v>2015</v>
      </c>
      <c r="C49" s="13" t="s">
        <v>1011</v>
      </c>
      <c r="D49" t="s">
        <v>1699</v>
      </c>
    </row>
    <row r="50" spans="1:4">
      <c r="A50" t="s">
        <v>1233</v>
      </c>
      <c r="B50" s="12">
        <v>2015</v>
      </c>
      <c r="C50" s="13" t="s">
        <v>1011</v>
      </c>
      <c r="D50" t="s">
        <v>1699</v>
      </c>
    </row>
    <row r="51" spans="1:4">
      <c r="A51" t="s">
        <v>1358</v>
      </c>
      <c r="B51" s="12">
        <v>2019</v>
      </c>
      <c r="C51" s="13" t="s">
        <v>1011</v>
      </c>
      <c r="D51" t="s">
        <v>1699</v>
      </c>
    </row>
    <row r="52" spans="1:4">
      <c r="A52" t="s">
        <v>1392</v>
      </c>
      <c r="B52" s="12">
        <v>2019</v>
      </c>
      <c r="C52" s="13" t="s">
        <v>1011</v>
      </c>
      <c r="D52" t="s">
        <v>1699</v>
      </c>
    </row>
    <row r="53" spans="1:4">
      <c r="A53" t="s">
        <v>1396</v>
      </c>
      <c r="B53" s="12">
        <v>2019</v>
      </c>
      <c r="C53" s="13" t="s">
        <v>1011</v>
      </c>
      <c r="D53" t="s">
        <v>1699</v>
      </c>
    </row>
    <row r="54" spans="1:4">
      <c r="A54" t="s">
        <v>1414</v>
      </c>
      <c r="B54" s="12">
        <v>2021</v>
      </c>
      <c r="C54" s="13" t="s">
        <v>1011</v>
      </c>
      <c r="D54" t="s">
        <v>1699</v>
      </c>
    </row>
    <row r="55" spans="1:4">
      <c r="A55" t="s">
        <v>1038</v>
      </c>
      <c r="B55" s="12">
        <v>2011</v>
      </c>
      <c r="C55" s="13" t="s">
        <v>1042</v>
      </c>
      <c r="D55" t="s">
        <v>1699</v>
      </c>
    </row>
    <row r="56" spans="1:4">
      <c r="A56" t="s">
        <v>1099</v>
      </c>
      <c r="B56" s="12">
        <v>2012</v>
      </c>
      <c r="C56" s="13" t="s">
        <v>1042</v>
      </c>
      <c r="D56" t="s">
        <v>1699</v>
      </c>
    </row>
    <row r="57" spans="1:4">
      <c r="A57" t="s">
        <v>1188</v>
      </c>
      <c r="B57" s="12">
        <v>2014</v>
      </c>
      <c r="C57" s="13" t="s">
        <v>1042</v>
      </c>
      <c r="D57" t="s">
        <v>1699</v>
      </c>
    </row>
    <row r="58" spans="1:4">
      <c r="A58" t="s">
        <v>1323</v>
      </c>
      <c r="B58" s="12">
        <v>2017</v>
      </c>
      <c r="C58" s="13" t="s">
        <v>1042</v>
      </c>
      <c r="D58" t="s">
        <v>1699</v>
      </c>
    </row>
    <row r="59" spans="1:4">
      <c r="A59" t="s">
        <v>1347</v>
      </c>
      <c r="B59" s="12">
        <v>2019</v>
      </c>
      <c r="C59" s="13" t="s">
        <v>1042</v>
      </c>
      <c r="D59" t="s">
        <v>1699</v>
      </c>
    </row>
    <row r="60" spans="1:4">
      <c r="A60" t="s">
        <v>1178</v>
      </c>
      <c r="B60" s="12">
        <v>2014</v>
      </c>
      <c r="C60" s="13" t="s">
        <v>1181</v>
      </c>
      <c r="D60" s="13" t="s">
        <v>911</v>
      </c>
    </row>
    <row r="61" spans="1:4">
      <c r="A61" t="s">
        <v>1209</v>
      </c>
      <c r="B61" s="12">
        <v>2015</v>
      </c>
      <c r="C61" s="13" t="s">
        <v>1181</v>
      </c>
      <c r="D61" s="13" t="s">
        <v>911</v>
      </c>
    </row>
    <row r="62" spans="1:4">
      <c r="A62" t="s">
        <v>1238</v>
      </c>
      <c r="B62" s="12">
        <v>2015</v>
      </c>
      <c r="C62" s="13" t="s">
        <v>1181</v>
      </c>
      <c r="D62" s="13" t="s">
        <v>911</v>
      </c>
    </row>
    <row r="63" spans="1:4">
      <c r="A63" t="s">
        <v>1278</v>
      </c>
      <c r="B63" s="12">
        <v>2017</v>
      </c>
      <c r="C63" s="13" t="s">
        <v>1181</v>
      </c>
      <c r="D63" s="13" t="s">
        <v>911</v>
      </c>
    </row>
    <row r="64" spans="1:4">
      <c r="A64" t="s">
        <v>1404</v>
      </c>
      <c r="B64" s="12">
        <v>2020</v>
      </c>
      <c r="C64" s="13" t="s">
        <v>1181</v>
      </c>
      <c r="D64" s="13" t="s">
        <v>911</v>
      </c>
    </row>
    <row r="65" spans="1:4">
      <c r="A65" t="s">
        <v>1044</v>
      </c>
      <c r="B65" s="15">
        <v>2011</v>
      </c>
      <c r="C65" s="16" t="s">
        <v>1050</v>
      </c>
      <c r="D65" s="16" t="s">
        <v>1700</v>
      </c>
    </row>
    <row r="66" spans="1:4">
      <c r="A66" t="s">
        <v>1152</v>
      </c>
      <c r="B66" s="12">
        <v>2014</v>
      </c>
      <c r="C66" s="13" t="s">
        <v>1050</v>
      </c>
      <c r="D66" s="16" t="s">
        <v>1700</v>
      </c>
    </row>
    <row r="67" spans="1:4">
      <c r="A67" t="s">
        <v>1308</v>
      </c>
      <c r="B67" s="12">
        <v>2017</v>
      </c>
      <c r="C67" s="13" t="s">
        <v>1050</v>
      </c>
      <c r="D67" s="16" t="s">
        <v>1700</v>
      </c>
    </row>
    <row r="68" spans="1:4">
      <c r="A68" t="s">
        <v>1483</v>
      </c>
      <c r="B68" s="12">
        <v>2024</v>
      </c>
      <c r="C68" s="13" t="s">
        <v>1050</v>
      </c>
      <c r="D68" s="16" t="s">
        <v>1700</v>
      </c>
    </row>
    <row r="88" spans="1:1">
      <c r="A88" s="9"/>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0"/>
  <sheetViews>
    <sheetView workbookViewId="0">
      <selection activeCell="H107" sqref="H107"/>
    </sheetView>
  </sheetViews>
  <sheetFormatPr defaultColWidth="8.72727272727273" defaultRowHeight="14" outlineLevelCol="5"/>
  <cols>
    <col min="2" max="2" width="8.72727272727273" style="9"/>
    <col min="3" max="3" width="26.5454545454545" style="9" customWidth="1"/>
    <col min="4" max="4" width="72.2727272727273" style="9" customWidth="1"/>
    <col min="11" max="11" width="29.6363636363636" customWidth="1"/>
  </cols>
  <sheetData>
    <row r="1" spans="1:6">
      <c r="A1" s="10" t="s">
        <v>890</v>
      </c>
      <c r="B1" s="11" t="s">
        <v>892</v>
      </c>
      <c r="C1" s="10" t="s">
        <v>7</v>
      </c>
      <c r="D1" s="10" t="s">
        <v>895</v>
      </c>
      <c r="E1" t="s">
        <v>1701</v>
      </c>
    </row>
    <row r="2" spans="1:6">
      <c r="A2" t="s">
        <v>903</v>
      </c>
      <c r="B2" s="12">
        <v>18</v>
      </c>
      <c r="C2" s="13" t="s">
        <v>14</v>
      </c>
      <c r="D2" s="13" t="s">
        <v>907</v>
      </c>
    </row>
    <row r="3" spans="1:6">
      <c r="A3" t="s">
        <v>914</v>
      </c>
      <c r="B3" s="12">
        <v>70</v>
      </c>
      <c r="C3" s="13" t="s">
        <v>283</v>
      </c>
      <c r="D3" s="13" t="s">
        <v>915</v>
      </c>
    </row>
    <row r="4" spans="1:6">
      <c r="A4" t="s">
        <v>948</v>
      </c>
      <c r="B4" s="12">
        <v>28</v>
      </c>
      <c r="C4" s="13" t="s">
        <v>80</v>
      </c>
      <c r="D4" s="13" t="s">
        <v>950</v>
      </c>
      <c r="E4">
        <v>1</v>
      </c>
      <c r="F4" s="14">
        <v>209</v>
      </c>
    </row>
    <row r="5" spans="1:6">
      <c r="A5" t="s">
        <v>931</v>
      </c>
      <c r="B5" s="12">
        <v>58</v>
      </c>
      <c r="C5" s="13" t="s">
        <v>297</v>
      </c>
      <c r="D5" s="13" t="s">
        <v>933</v>
      </c>
    </row>
    <row r="6" spans="1:6">
      <c r="A6" t="s">
        <v>940</v>
      </c>
      <c r="B6" s="12">
        <v>61</v>
      </c>
      <c r="C6" s="13" t="s">
        <v>66</v>
      </c>
      <c r="D6" s="13" t="s">
        <v>943</v>
      </c>
    </row>
    <row r="7" spans="1:6">
      <c r="A7" t="s">
        <v>980</v>
      </c>
      <c r="B7" s="12">
        <v>16</v>
      </c>
      <c r="C7" s="13" t="s">
        <v>91</v>
      </c>
      <c r="D7" s="13" t="s">
        <v>950</v>
      </c>
      <c r="E7">
        <v>1</v>
      </c>
      <c r="F7" s="14"/>
    </row>
    <row r="8" spans="1:6">
      <c r="A8" t="s">
        <v>955</v>
      </c>
      <c r="B8" s="12">
        <v>321</v>
      </c>
      <c r="C8" s="13" t="s">
        <v>124</v>
      </c>
      <c r="D8" s="13" t="s">
        <v>957</v>
      </c>
    </row>
    <row r="9" spans="1:6">
      <c r="A9" t="s">
        <v>993</v>
      </c>
      <c r="B9" s="12">
        <v>40</v>
      </c>
      <c r="C9" s="13" t="s">
        <v>801</v>
      </c>
      <c r="D9" s="13" t="s">
        <v>950</v>
      </c>
      <c r="E9">
        <v>1</v>
      </c>
      <c r="F9" s="14"/>
    </row>
    <row r="10" spans="1:6">
      <c r="A10" t="s">
        <v>1079</v>
      </c>
      <c r="B10" s="12">
        <v>43</v>
      </c>
      <c r="C10" s="13" t="s">
        <v>76</v>
      </c>
      <c r="D10" s="13" t="s">
        <v>1080</v>
      </c>
      <c r="E10">
        <v>1</v>
      </c>
      <c r="F10" s="14"/>
    </row>
    <row r="11" spans="1:6">
      <c r="A11" t="s">
        <v>1095</v>
      </c>
      <c r="B11" s="12">
        <v>10</v>
      </c>
      <c r="C11" s="13" t="s">
        <v>191</v>
      </c>
      <c r="D11" s="13" t="s">
        <v>1080</v>
      </c>
      <c r="E11">
        <v>1</v>
      </c>
      <c r="F11" s="14"/>
    </row>
    <row r="12" spans="1:6">
      <c r="A12" t="s">
        <v>985</v>
      </c>
      <c r="B12" s="12">
        <v>14</v>
      </c>
      <c r="C12" s="13" t="s">
        <v>566</v>
      </c>
      <c r="D12" s="13" t="s">
        <v>988</v>
      </c>
    </row>
    <row r="13" spans="1:6">
      <c r="A13" t="s">
        <v>1142</v>
      </c>
      <c r="B13" s="12">
        <v>27</v>
      </c>
      <c r="C13" s="13" t="s">
        <v>841</v>
      </c>
      <c r="D13" s="13" t="s">
        <v>1143</v>
      </c>
      <c r="E13">
        <v>1</v>
      </c>
      <c r="F13" s="14"/>
    </row>
    <row r="14" spans="1:6">
      <c r="A14" t="s">
        <v>1264</v>
      </c>
      <c r="B14" s="12">
        <v>10</v>
      </c>
      <c r="C14" s="13" t="s">
        <v>12</v>
      </c>
      <c r="D14" s="13" t="s">
        <v>1265</v>
      </c>
      <c r="E14">
        <v>1</v>
      </c>
      <c r="F14" s="14"/>
    </row>
    <row r="15" spans="1:6">
      <c r="A15" t="s">
        <v>1308</v>
      </c>
      <c r="B15" s="12">
        <v>12</v>
      </c>
      <c r="C15" s="13" t="s">
        <v>163</v>
      </c>
      <c r="D15" s="13" t="s">
        <v>1310</v>
      </c>
      <c r="E15">
        <v>1</v>
      </c>
      <c r="F15" s="14"/>
    </row>
    <row r="16" spans="1:6">
      <c r="A16" t="s">
        <v>1014</v>
      </c>
      <c r="B16" s="12">
        <v>31</v>
      </c>
      <c r="C16" s="13" t="s">
        <v>586</v>
      </c>
      <c r="D16" s="13" t="s">
        <v>1016</v>
      </c>
    </row>
    <row r="17" spans="1:6">
      <c r="A17" t="s">
        <v>1439</v>
      </c>
      <c r="B17" s="12">
        <v>13</v>
      </c>
      <c r="C17" s="13" t="s">
        <v>855</v>
      </c>
      <c r="D17" s="13" t="s">
        <v>1440</v>
      </c>
      <c r="E17">
        <v>1</v>
      </c>
      <c r="F17" s="14"/>
    </row>
    <row r="18" spans="1:6">
      <c r="A18" t="s">
        <v>1445</v>
      </c>
      <c r="B18" s="12">
        <v>10</v>
      </c>
      <c r="C18" s="13" t="s">
        <v>809</v>
      </c>
      <c r="D18" s="13" t="s">
        <v>1440</v>
      </c>
      <c r="E18">
        <v>1</v>
      </c>
      <c r="F18" s="14"/>
    </row>
    <row r="19" spans="1:6">
      <c r="A19" t="s">
        <v>1510</v>
      </c>
      <c r="B19" s="12">
        <v>0</v>
      </c>
      <c r="C19" s="13" t="s">
        <v>93</v>
      </c>
      <c r="D19" s="13" t="s">
        <v>1511</v>
      </c>
      <c r="E19">
        <v>1</v>
      </c>
      <c r="F19" s="14"/>
    </row>
    <row r="20" spans="1:6">
      <c r="A20" t="s">
        <v>1038</v>
      </c>
      <c r="B20" s="12">
        <v>13</v>
      </c>
      <c r="C20" s="13" t="s">
        <v>837</v>
      </c>
      <c r="D20" s="13" t="s">
        <v>1039</v>
      </c>
    </row>
    <row r="21" spans="1:6">
      <c r="A21" t="s">
        <v>1044</v>
      </c>
      <c r="B21" s="15">
        <v>42</v>
      </c>
      <c r="C21" s="16" t="s">
        <v>798</v>
      </c>
      <c r="D21" s="16" t="s">
        <v>1046</v>
      </c>
    </row>
    <row r="22" spans="1:6">
      <c r="A22" t="s">
        <v>1052</v>
      </c>
      <c r="B22" s="12">
        <v>95</v>
      </c>
      <c r="C22" s="13" t="s">
        <v>342</v>
      </c>
      <c r="D22" s="13" t="s">
        <v>1053</v>
      </c>
    </row>
    <row r="23" spans="1:6">
      <c r="A23" t="s">
        <v>921</v>
      </c>
      <c r="B23" s="12">
        <v>339</v>
      </c>
      <c r="C23" s="13" t="s">
        <v>701</v>
      </c>
      <c r="D23" s="13" t="s">
        <v>924</v>
      </c>
      <c r="E23">
        <v>2</v>
      </c>
      <c r="F23" s="14">
        <v>515</v>
      </c>
    </row>
    <row r="24" spans="1:6">
      <c r="A24" t="s">
        <v>1062</v>
      </c>
      <c r="B24" s="12">
        <v>52</v>
      </c>
      <c r="C24" s="13" t="s">
        <v>727</v>
      </c>
      <c r="D24" s="13" t="s">
        <v>924</v>
      </c>
      <c r="E24">
        <v>2</v>
      </c>
      <c r="F24" s="14"/>
    </row>
    <row r="25" spans="1:6">
      <c r="A25" t="s">
        <v>1067</v>
      </c>
      <c r="B25" s="12">
        <v>20</v>
      </c>
      <c r="C25" s="13" t="s">
        <v>395</v>
      </c>
      <c r="D25" s="13" t="s">
        <v>1068</v>
      </c>
    </row>
    <row r="26" spans="1:6">
      <c r="A26" t="s">
        <v>1073</v>
      </c>
      <c r="B26" s="12">
        <v>1</v>
      </c>
      <c r="C26" s="13" t="s">
        <v>620</v>
      </c>
      <c r="D26" s="13" t="s">
        <v>1074</v>
      </c>
    </row>
    <row r="27" spans="1:6">
      <c r="A27" t="s">
        <v>1199</v>
      </c>
      <c r="B27" s="12">
        <v>30</v>
      </c>
      <c r="C27" s="13" t="s">
        <v>839</v>
      </c>
      <c r="D27" s="13" t="s">
        <v>924</v>
      </c>
      <c r="E27">
        <v>2</v>
      </c>
      <c r="F27" s="14"/>
    </row>
    <row r="28" spans="1:6">
      <c r="A28" t="s">
        <v>1086</v>
      </c>
      <c r="B28" s="12">
        <v>22</v>
      </c>
      <c r="C28" s="13" t="s">
        <v>105</v>
      </c>
      <c r="D28" s="13" t="s">
        <v>1087</v>
      </c>
    </row>
    <row r="29" spans="1:6">
      <c r="A29" t="s">
        <v>1396</v>
      </c>
      <c r="B29" s="12">
        <v>24</v>
      </c>
      <c r="C29" s="13" t="s">
        <v>574</v>
      </c>
      <c r="D29" s="13" t="s">
        <v>924</v>
      </c>
      <c r="E29">
        <v>2</v>
      </c>
      <c r="F29" s="14"/>
    </row>
    <row r="30" spans="1:6">
      <c r="A30" t="s">
        <v>1420</v>
      </c>
      <c r="B30" s="12">
        <v>30</v>
      </c>
      <c r="C30" s="13" t="s">
        <v>717</v>
      </c>
      <c r="D30" s="13" t="s">
        <v>924</v>
      </c>
      <c r="E30">
        <v>2</v>
      </c>
      <c r="F30" s="14"/>
    </row>
    <row r="31" spans="1:6">
      <c r="A31" t="s">
        <v>1099</v>
      </c>
      <c r="B31" s="12">
        <v>48</v>
      </c>
      <c r="C31" s="13" t="s">
        <v>823</v>
      </c>
      <c r="D31" s="13" t="s">
        <v>1102</v>
      </c>
    </row>
    <row r="32" spans="1:6">
      <c r="A32" t="s">
        <v>1106</v>
      </c>
      <c r="B32" s="12">
        <v>34</v>
      </c>
      <c r="C32" s="13" t="s">
        <v>84</v>
      </c>
      <c r="D32" s="13" t="s">
        <v>1107</v>
      </c>
    </row>
    <row r="33" spans="1:6">
      <c r="A33" t="s">
        <v>1476</v>
      </c>
      <c r="B33" s="12">
        <v>2</v>
      </c>
      <c r="C33" s="13" t="s">
        <v>356</v>
      </c>
      <c r="D33" s="13" t="s">
        <v>1477</v>
      </c>
    </row>
    <row r="34" spans="1:6">
      <c r="A34" t="s">
        <v>1500</v>
      </c>
      <c r="B34" s="12">
        <v>0</v>
      </c>
      <c r="C34" s="13" t="s">
        <v>358</v>
      </c>
      <c r="D34" s="13" t="s">
        <v>1477</v>
      </c>
    </row>
    <row r="35" spans="1:6">
      <c r="A35" t="s">
        <v>1124</v>
      </c>
      <c r="B35" s="12">
        <v>14</v>
      </c>
      <c r="C35" s="13" t="s">
        <v>158</v>
      </c>
      <c r="D35" s="13" t="s">
        <v>1126</v>
      </c>
    </row>
    <row r="36" spans="1:6">
      <c r="A36" t="s">
        <v>1130</v>
      </c>
      <c r="B36" s="12">
        <v>12</v>
      </c>
      <c r="C36" s="13" t="s">
        <v>681</v>
      </c>
      <c r="D36" s="13" t="s">
        <v>1132</v>
      </c>
    </row>
    <row r="37" spans="1:6">
      <c r="A37" t="s">
        <v>1136</v>
      </c>
      <c r="B37" s="12">
        <v>34</v>
      </c>
      <c r="C37" s="13" t="s">
        <v>362</v>
      </c>
      <c r="D37" s="13" t="s">
        <v>1137</v>
      </c>
    </row>
    <row r="38" spans="1:6">
      <c r="A38" t="s">
        <v>1214</v>
      </c>
      <c r="B38" s="12">
        <v>9</v>
      </c>
      <c r="C38" s="13" t="s">
        <v>560</v>
      </c>
      <c r="D38" s="13" t="s">
        <v>1215</v>
      </c>
    </row>
    <row r="39" spans="1:6">
      <c r="A39" t="s">
        <v>1319</v>
      </c>
      <c r="B39" s="12">
        <v>6</v>
      </c>
      <c r="C39" s="13" t="s">
        <v>584</v>
      </c>
      <c r="D39" s="13" t="s">
        <v>1215</v>
      </c>
    </row>
    <row r="40" spans="1:6">
      <c r="A40" t="s">
        <v>1458</v>
      </c>
      <c r="B40" s="12">
        <v>40</v>
      </c>
      <c r="C40" s="13" t="s">
        <v>705</v>
      </c>
      <c r="D40" s="13" t="s">
        <v>924</v>
      </c>
      <c r="E40">
        <v>2</v>
      </c>
      <c r="F40" s="14"/>
    </row>
    <row r="41" spans="1:6">
      <c r="A41" t="s">
        <v>1157</v>
      </c>
      <c r="B41" s="12">
        <v>55</v>
      </c>
      <c r="C41" s="13" t="s">
        <v>318</v>
      </c>
      <c r="D41" s="13" t="s">
        <v>1158</v>
      </c>
    </row>
    <row r="42" spans="1:6">
      <c r="A42" t="s">
        <v>1163</v>
      </c>
      <c r="B42" s="12">
        <v>30</v>
      </c>
      <c r="C42" s="13" t="s">
        <v>78</v>
      </c>
      <c r="D42" s="13" t="s">
        <v>1165</v>
      </c>
    </row>
    <row r="43" spans="1:6">
      <c r="A43" t="s">
        <v>1472</v>
      </c>
      <c r="B43" s="12">
        <v>0</v>
      </c>
      <c r="C43" s="13" t="s">
        <v>713</v>
      </c>
      <c r="D43" s="13" t="s">
        <v>924</v>
      </c>
      <c r="E43">
        <v>2</v>
      </c>
      <c r="F43" s="14"/>
    </row>
    <row r="44" spans="1:6">
      <c r="A44" t="s">
        <v>1173</v>
      </c>
      <c r="B44" s="12">
        <v>20</v>
      </c>
      <c r="C44" s="13" t="s">
        <v>803</v>
      </c>
      <c r="D44" s="13" t="s">
        <v>1174</v>
      </c>
    </row>
    <row r="45" spans="1:6">
      <c r="A45" t="s">
        <v>1026</v>
      </c>
      <c r="B45" s="12">
        <v>81</v>
      </c>
      <c r="C45" s="13" t="s">
        <v>320</v>
      </c>
      <c r="D45" s="13" t="s">
        <v>1028</v>
      </c>
      <c r="E45">
        <v>3</v>
      </c>
      <c r="F45" s="14">
        <v>256</v>
      </c>
    </row>
    <row r="46" spans="1:6">
      <c r="A46" t="s">
        <v>1254</v>
      </c>
      <c r="B46" s="12">
        <v>126</v>
      </c>
      <c r="C46" s="13" t="s">
        <v>403</v>
      </c>
      <c r="D46" s="13" t="s">
        <v>1028</v>
      </c>
      <c r="E46">
        <v>3</v>
      </c>
      <c r="F46" s="14"/>
    </row>
    <row r="47" spans="1:6">
      <c r="A47" t="s">
        <v>1188</v>
      </c>
      <c r="B47" s="12">
        <v>57</v>
      </c>
      <c r="C47" s="13" t="s">
        <v>374</v>
      </c>
      <c r="D47" s="13" t="s">
        <v>1190</v>
      </c>
    </row>
    <row r="48" spans="1:6">
      <c r="A48" t="s">
        <v>1194</v>
      </c>
      <c r="B48" s="12">
        <v>15</v>
      </c>
      <c r="C48" s="13" t="s">
        <v>173</v>
      </c>
      <c r="D48" s="13" t="s">
        <v>1195</v>
      </c>
    </row>
    <row r="49" spans="1:6">
      <c r="A49" t="s">
        <v>1118</v>
      </c>
      <c r="B49" s="12">
        <v>25</v>
      </c>
      <c r="C49" s="13" t="s">
        <v>401</v>
      </c>
      <c r="D49" s="13" t="s">
        <v>1119</v>
      </c>
    </row>
    <row r="50" spans="1:6">
      <c r="A50" t="s">
        <v>1203</v>
      </c>
      <c r="B50" s="12">
        <v>11</v>
      </c>
      <c r="C50" s="13" t="s">
        <v>576</v>
      </c>
      <c r="D50" s="13" t="s">
        <v>1204</v>
      </c>
    </row>
    <row r="51" spans="1:6">
      <c r="A51" t="s">
        <v>1209</v>
      </c>
      <c r="B51" s="12">
        <v>17</v>
      </c>
      <c r="C51" s="13" t="s">
        <v>409</v>
      </c>
      <c r="D51" s="13" t="s">
        <v>1211</v>
      </c>
    </row>
    <row r="52" spans="1:6">
      <c r="A52" t="s">
        <v>1274</v>
      </c>
      <c r="B52" s="12">
        <v>49</v>
      </c>
      <c r="C52" s="13" t="s">
        <v>391</v>
      </c>
      <c r="D52" s="13" t="s">
        <v>1119</v>
      </c>
    </row>
    <row r="53" spans="1:6">
      <c r="A53" t="s">
        <v>1220</v>
      </c>
      <c r="B53" s="12">
        <v>21</v>
      </c>
      <c r="C53" s="13" t="s">
        <v>723</v>
      </c>
      <c r="D53" s="13" t="s">
        <v>1222</v>
      </c>
    </row>
    <row r="54" spans="1:6">
      <c r="A54" t="s">
        <v>1228</v>
      </c>
      <c r="B54" s="12">
        <v>33</v>
      </c>
      <c r="C54" s="13" t="s">
        <v>316</v>
      </c>
      <c r="D54" s="13" t="s">
        <v>1229</v>
      </c>
    </row>
    <row r="55" spans="1:6">
      <c r="A55" t="s">
        <v>1363</v>
      </c>
      <c r="B55" s="12">
        <v>14</v>
      </c>
      <c r="C55" s="13" t="s">
        <v>344</v>
      </c>
      <c r="D55" s="13" t="s">
        <v>1028</v>
      </c>
      <c r="E55">
        <v>3</v>
      </c>
      <c r="F55" s="14"/>
    </row>
    <row r="56" spans="1:6">
      <c r="A56" t="s">
        <v>1238</v>
      </c>
      <c r="B56" s="12">
        <v>84</v>
      </c>
      <c r="C56" s="13" t="s">
        <v>378</v>
      </c>
      <c r="D56" s="13" t="s">
        <v>1239</v>
      </c>
    </row>
    <row r="57" spans="1:6">
      <c r="A57" t="s">
        <v>1243</v>
      </c>
      <c r="B57" s="12">
        <v>10</v>
      </c>
      <c r="C57" s="13" t="s">
        <v>387</v>
      </c>
      <c r="D57" s="13" t="s">
        <v>1244</v>
      </c>
    </row>
    <row r="58" spans="1:6">
      <c r="A58" t="s">
        <v>1248</v>
      </c>
      <c r="B58" s="12">
        <v>89</v>
      </c>
      <c r="C58" s="13" t="s">
        <v>821</v>
      </c>
      <c r="D58" s="13" t="s">
        <v>1249</v>
      </c>
    </row>
    <row r="59" spans="1:6">
      <c r="A59" t="s">
        <v>1468</v>
      </c>
      <c r="B59" s="12">
        <v>15</v>
      </c>
      <c r="C59" s="13" t="s">
        <v>389</v>
      </c>
      <c r="D59" s="13" t="s">
        <v>1028</v>
      </c>
      <c r="E59">
        <v>3</v>
      </c>
      <c r="F59" s="14"/>
    </row>
    <row r="60" spans="1:6">
      <c r="A60" t="s">
        <v>1259</v>
      </c>
      <c r="B60" s="12">
        <v>39</v>
      </c>
      <c r="C60" s="13" t="s">
        <v>74</v>
      </c>
      <c r="D60" s="13" t="s">
        <v>1261</v>
      </c>
    </row>
    <row r="61" spans="1:6">
      <c r="A61" t="s">
        <v>971</v>
      </c>
      <c r="B61" s="12">
        <v>20</v>
      </c>
      <c r="C61" s="13" t="s">
        <v>314</v>
      </c>
      <c r="D61" s="13" t="s">
        <v>974</v>
      </c>
      <c r="E61">
        <v>4</v>
      </c>
      <c r="F61" s="14">
        <v>223</v>
      </c>
    </row>
    <row r="62" spans="1:6">
      <c r="A62" t="s">
        <v>1269</v>
      </c>
      <c r="B62" s="12">
        <v>4</v>
      </c>
      <c r="C62" s="13" t="s">
        <v>675</v>
      </c>
      <c r="D62" s="13" t="s">
        <v>1270</v>
      </c>
    </row>
    <row r="63" spans="1:6">
      <c r="A63" t="s">
        <v>1112</v>
      </c>
      <c r="B63" s="12">
        <v>52</v>
      </c>
      <c r="C63" s="13" t="s">
        <v>336</v>
      </c>
      <c r="D63" s="13" t="s">
        <v>974</v>
      </c>
      <c r="E63">
        <v>4</v>
      </c>
      <c r="F63" s="14"/>
    </row>
    <row r="64" spans="1:6">
      <c r="A64" t="s">
        <v>1278</v>
      </c>
      <c r="B64" s="12">
        <v>3</v>
      </c>
      <c r="C64" s="13" t="s">
        <v>677</v>
      </c>
      <c r="D64" s="13" t="s">
        <v>1279</v>
      </c>
    </row>
    <row r="65" spans="1:6">
      <c r="A65" t="s">
        <v>1284</v>
      </c>
      <c r="B65" s="12">
        <v>25</v>
      </c>
      <c r="C65" s="13" t="s">
        <v>364</v>
      </c>
      <c r="D65" s="13" t="s">
        <v>1285</v>
      </c>
    </row>
    <row r="66" spans="1:6">
      <c r="A66" t="s">
        <v>1290</v>
      </c>
      <c r="B66" s="12">
        <v>15</v>
      </c>
      <c r="C66" s="13" t="s">
        <v>827</v>
      </c>
      <c r="D66" s="13" t="s">
        <v>1291</v>
      </c>
    </row>
    <row r="67" spans="1:6">
      <c r="A67" t="s">
        <v>1294</v>
      </c>
      <c r="B67" s="12">
        <v>19</v>
      </c>
      <c r="C67" s="13" t="s">
        <v>673</v>
      </c>
      <c r="D67" s="13" t="s">
        <v>1295</v>
      </c>
    </row>
    <row r="68" spans="1:6">
      <c r="A68" t="s">
        <v>1298</v>
      </c>
      <c r="B68" s="12">
        <v>13</v>
      </c>
      <c r="C68" s="13" t="s">
        <v>691</v>
      </c>
      <c r="D68" s="13" t="s">
        <v>1299</v>
      </c>
    </row>
    <row r="69" spans="1:6">
      <c r="A69" t="s">
        <v>1147</v>
      </c>
      <c r="B69" s="12">
        <v>63</v>
      </c>
      <c r="C69" s="13" t="s">
        <v>370</v>
      </c>
      <c r="D69" s="13" t="s">
        <v>974</v>
      </c>
      <c r="E69">
        <v>4</v>
      </c>
      <c r="F69" s="14"/>
    </row>
    <row r="70" spans="1:6">
      <c r="A70" t="s">
        <v>1184</v>
      </c>
      <c r="B70" s="12">
        <v>88</v>
      </c>
      <c r="C70" s="13" t="s">
        <v>368</v>
      </c>
      <c r="D70" s="13" t="s">
        <v>974</v>
      </c>
      <c r="E70">
        <v>4</v>
      </c>
      <c r="F70" s="14"/>
    </row>
    <row r="71" spans="1:6">
      <c r="A71" t="s">
        <v>1314</v>
      </c>
      <c r="B71" s="12">
        <v>37</v>
      </c>
      <c r="C71" s="13" t="s">
        <v>825</v>
      </c>
      <c r="D71" s="13" t="s">
        <v>1315</v>
      </c>
    </row>
    <row r="72" spans="1:6">
      <c r="A72" t="s">
        <v>1335</v>
      </c>
      <c r="B72" s="12">
        <v>51</v>
      </c>
      <c r="C72" s="13" t="s">
        <v>851</v>
      </c>
      <c r="D72" s="13" t="s">
        <v>1336</v>
      </c>
      <c r="E72">
        <v>5</v>
      </c>
      <c r="F72" s="14">
        <v>107</v>
      </c>
    </row>
    <row r="73" spans="1:6">
      <c r="A73" t="s">
        <v>1323</v>
      </c>
      <c r="B73" s="12">
        <v>61</v>
      </c>
      <c r="C73" s="13" t="s">
        <v>875</v>
      </c>
      <c r="D73" s="13" t="s">
        <v>1325</v>
      </c>
    </row>
    <row r="74" spans="1:6">
      <c r="A74" t="s">
        <v>1329</v>
      </c>
      <c r="B74" s="12">
        <v>96</v>
      </c>
      <c r="C74" s="13" t="s">
        <v>833</v>
      </c>
      <c r="D74" s="13" t="s">
        <v>1331</v>
      </c>
    </row>
    <row r="75" spans="1:6">
      <c r="A75" t="s">
        <v>1400</v>
      </c>
      <c r="B75" s="12">
        <v>33</v>
      </c>
      <c r="C75" s="13" t="s">
        <v>572</v>
      </c>
      <c r="D75" s="13" t="s">
        <v>1336</v>
      </c>
      <c r="E75">
        <v>5</v>
      </c>
      <c r="F75" s="14"/>
    </row>
    <row r="76" spans="1:6">
      <c r="A76" t="s">
        <v>1340</v>
      </c>
      <c r="B76" s="12">
        <v>37</v>
      </c>
      <c r="C76" s="13" t="s">
        <v>26</v>
      </c>
      <c r="D76" s="13" t="s">
        <v>1342</v>
      </c>
    </row>
    <row r="77" spans="1:6">
      <c r="A77" t="s">
        <v>1404</v>
      </c>
      <c r="B77" s="12">
        <v>21</v>
      </c>
      <c r="C77" s="13" t="s">
        <v>699</v>
      </c>
      <c r="D77" s="13" t="s">
        <v>1405</v>
      </c>
      <c r="E77">
        <v>5</v>
      </c>
      <c r="F77" s="14"/>
    </row>
    <row r="78" spans="1:6">
      <c r="A78" t="s">
        <v>1352</v>
      </c>
      <c r="B78" s="12">
        <v>11</v>
      </c>
      <c r="C78" s="13" t="s">
        <v>592</v>
      </c>
      <c r="D78" s="13" t="s">
        <v>1354</v>
      </c>
    </row>
    <row r="79" spans="1:6">
      <c r="A79" t="s">
        <v>1358</v>
      </c>
      <c r="B79" s="12">
        <v>24</v>
      </c>
      <c r="C79" s="13" t="s">
        <v>636</v>
      </c>
      <c r="D79" s="13" t="s">
        <v>1359</v>
      </c>
    </row>
    <row r="80" spans="1:6">
      <c r="A80" t="s">
        <v>1463</v>
      </c>
      <c r="B80" s="12">
        <v>2</v>
      </c>
      <c r="C80" s="13" t="s">
        <v>622</v>
      </c>
      <c r="D80" s="13" t="s">
        <v>1405</v>
      </c>
      <c r="E80">
        <v>5</v>
      </c>
      <c r="F80" s="14"/>
    </row>
    <row r="81" spans="1:6">
      <c r="A81" t="s">
        <v>1368</v>
      </c>
      <c r="B81" s="12">
        <v>13</v>
      </c>
      <c r="C81" s="13" t="s">
        <v>413</v>
      </c>
      <c r="D81" s="13" t="s">
        <v>1369</v>
      </c>
    </row>
    <row r="82" spans="1:6">
      <c r="A82" t="s">
        <v>1006</v>
      </c>
      <c r="B82" s="12">
        <v>21</v>
      </c>
      <c r="C82" s="13" t="s">
        <v>171</v>
      </c>
      <c r="D82" s="13" t="s">
        <v>1008</v>
      </c>
      <c r="E82">
        <v>6</v>
      </c>
      <c r="F82" s="14">
        <v>73</v>
      </c>
    </row>
    <row r="83" spans="1:6">
      <c r="A83" t="s">
        <v>1380</v>
      </c>
      <c r="B83" s="12">
        <v>39</v>
      </c>
      <c r="C83" s="13" t="s">
        <v>72</v>
      </c>
      <c r="D83" s="13" t="s">
        <v>1382</v>
      </c>
    </row>
    <row r="84" spans="1:6">
      <c r="A84" t="s">
        <v>1387</v>
      </c>
      <c r="B84" s="12">
        <v>15</v>
      </c>
      <c r="C84" s="13" t="s">
        <v>126</v>
      </c>
      <c r="D84" s="13" t="s">
        <v>1388</v>
      </c>
    </row>
    <row r="85" spans="1:6">
      <c r="A85" t="s">
        <v>1392</v>
      </c>
      <c r="B85" s="12">
        <v>49</v>
      </c>
      <c r="C85" s="13" t="s">
        <v>813</v>
      </c>
      <c r="D85" s="13" t="s">
        <v>1393</v>
      </c>
    </row>
    <row r="86" spans="1:6">
      <c r="A86" t="s">
        <v>1090</v>
      </c>
      <c r="B86" s="12">
        <v>14</v>
      </c>
      <c r="C86" s="13" t="s">
        <v>179</v>
      </c>
      <c r="D86" s="13" t="s">
        <v>1091</v>
      </c>
      <c r="E86">
        <v>6</v>
      </c>
      <c r="F86" s="14"/>
    </row>
    <row r="87" spans="1:6">
      <c r="A87" t="s">
        <v>1374</v>
      </c>
      <c r="B87" s="12">
        <v>27</v>
      </c>
      <c r="C87" s="13" t="s">
        <v>68</v>
      </c>
      <c r="D87" s="13" t="s">
        <v>1376</v>
      </c>
      <c r="E87">
        <v>6</v>
      </c>
      <c r="F87" s="14"/>
    </row>
    <row r="88" spans="1:6">
      <c r="A88" t="s">
        <v>1448</v>
      </c>
      <c r="B88" s="12">
        <v>11</v>
      </c>
      <c r="C88" s="13" t="s">
        <v>128</v>
      </c>
      <c r="D88" s="13" t="s">
        <v>1449</v>
      </c>
      <c r="E88">
        <v>6</v>
      </c>
      <c r="F88" s="14"/>
    </row>
    <row r="89" spans="1:6">
      <c r="A89" t="s">
        <v>1409</v>
      </c>
      <c r="B89" s="12">
        <v>5</v>
      </c>
      <c r="C89" s="13" t="s">
        <v>634</v>
      </c>
      <c r="D89" s="13" t="s">
        <v>1410</v>
      </c>
    </row>
    <row r="90" spans="1:6">
      <c r="A90" t="s">
        <v>1414</v>
      </c>
      <c r="B90" s="12">
        <v>1</v>
      </c>
      <c r="C90" s="13" t="s">
        <v>656</v>
      </c>
      <c r="D90" s="13" t="s">
        <v>1415</v>
      </c>
    </row>
    <row r="91" spans="1:6">
      <c r="A91" t="s">
        <v>1303</v>
      </c>
      <c r="B91" s="12">
        <v>23</v>
      </c>
      <c r="C91" s="13" t="s">
        <v>372</v>
      </c>
      <c r="D91" s="13" t="s">
        <v>1304</v>
      </c>
      <c r="E91">
        <v>7</v>
      </c>
      <c r="F91" s="14">
        <v>97</v>
      </c>
    </row>
    <row r="92" spans="1:6">
      <c r="A92" t="s">
        <v>1425</v>
      </c>
      <c r="B92" s="12">
        <v>5</v>
      </c>
      <c r="C92" s="13" t="s">
        <v>415</v>
      </c>
      <c r="D92" s="13" t="s">
        <v>1427</v>
      </c>
    </row>
    <row r="93" spans="1:6">
      <c r="A93" t="s">
        <v>1432</v>
      </c>
      <c r="B93" s="12">
        <v>6</v>
      </c>
      <c r="C93" s="13" t="s">
        <v>843</v>
      </c>
      <c r="D93" s="13" t="s">
        <v>1434</v>
      </c>
    </row>
    <row r="94" spans="1:6">
      <c r="A94" t="s">
        <v>1347</v>
      </c>
      <c r="B94" s="12">
        <v>36</v>
      </c>
      <c r="C94" s="13" t="s">
        <v>376</v>
      </c>
      <c r="D94" s="13" t="s">
        <v>1348</v>
      </c>
      <c r="E94">
        <v>7</v>
      </c>
      <c r="F94" s="14"/>
    </row>
    <row r="95" spans="1:6">
      <c r="A95" t="s">
        <v>1453</v>
      </c>
      <c r="B95" s="12">
        <v>7</v>
      </c>
      <c r="C95" s="13" t="s">
        <v>385</v>
      </c>
      <c r="D95" s="13" t="s">
        <v>1454</v>
      </c>
      <c r="E95">
        <v>7</v>
      </c>
      <c r="F95" s="14"/>
    </row>
    <row r="96" spans="1:6">
      <c r="A96" t="s">
        <v>1233</v>
      </c>
      <c r="B96" s="12">
        <v>31</v>
      </c>
      <c r="C96" s="13" t="s">
        <v>334</v>
      </c>
      <c r="D96" s="13" t="s">
        <v>1234</v>
      </c>
      <c r="E96">
        <v>7</v>
      </c>
      <c r="F96" s="14"/>
    </row>
    <row r="97" spans="1:6">
      <c r="A97" t="s">
        <v>1031</v>
      </c>
      <c r="B97" s="12">
        <v>13</v>
      </c>
      <c r="C97" s="13" t="s">
        <v>109</v>
      </c>
      <c r="D97" s="13" t="s">
        <v>1033</v>
      </c>
      <c r="E97">
        <v>8</v>
      </c>
      <c r="F97" s="14">
        <v>88</v>
      </c>
    </row>
    <row r="98" spans="1:6">
      <c r="A98" t="s">
        <v>1152</v>
      </c>
      <c r="B98" s="12">
        <v>28</v>
      </c>
      <c r="C98" s="13" t="s">
        <v>22</v>
      </c>
      <c r="D98" s="13" t="s">
        <v>1153</v>
      </c>
      <c r="E98">
        <v>8</v>
      </c>
      <c r="F98" s="14"/>
    </row>
    <row r="99" spans="1:6">
      <c r="A99" t="s">
        <v>1516</v>
      </c>
      <c r="B99" s="12">
        <v>3</v>
      </c>
      <c r="C99" s="13" t="s">
        <v>352</v>
      </c>
      <c r="D99" s="13" t="s">
        <v>1517</v>
      </c>
    </row>
    <row r="100" spans="1:6">
      <c r="A100" t="s">
        <v>1520</v>
      </c>
      <c r="B100" s="12">
        <v>0</v>
      </c>
      <c r="C100" s="13" t="s">
        <v>348</v>
      </c>
      <c r="D100" s="13" t="s">
        <v>1517</v>
      </c>
    </row>
    <row r="101" spans="1:6">
      <c r="A101" t="s">
        <v>1169</v>
      </c>
      <c r="B101" s="12">
        <v>47</v>
      </c>
      <c r="C101" s="13" t="s">
        <v>24</v>
      </c>
      <c r="D101" s="13" t="s">
        <v>1153</v>
      </c>
      <c r="E101">
        <v>8</v>
      </c>
      <c r="F101" s="14"/>
    </row>
    <row r="102" spans="1:6">
      <c r="A102" t="s">
        <v>1021</v>
      </c>
      <c r="B102" s="12">
        <v>18</v>
      </c>
      <c r="C102" s="13" t="s">
        <v>632</v>
      </c>
      <c r="D102" s="13" t="s">
        <v>1022</v>
      </c>
      <c r="E102">
        <v>9</v>
      </c>
      <c r="F102" s="14">
        <v>88</v>
      </c>
    </row>
    <row r="103" spans="1:6">
      <c r="A103" t="s">
        <v>1483</v>
      </c>
      <c r="B103" s="12">
        <v>0</v>
      </c>
      <c r="C103" s="13" t="s">
        <v>366</v>
      </c>
      <c r="D103" s="13" t="s">
        <v>1484</v>
      </c>
    </row>
    <row r="104" spans="1:6">
      <c r="A104" t="s">
        <v>1488</v>
      </c>
      <c r="B104" s="12">
        <v>0</v>
      </c>
      <c r="C104" s="13" t="s">
        <v>562</v>
      </c>
      <c r="D104" s="13" t="s">
        <v>1489</v>
      </c>
    </row>
    <row r="105" spans="1:6">
      <c r="A105" t="s">
        <v>1493</v>
      </c>
      <c r="B105" s="12">
        <v>0</v>
      </c>
      <c r="C105" s="13" t="s">
        <v>612</v>
      </c>
      <c r="D105" s="13" t="s">
        <v>1494</v>
      </c>
    </row>
    <row r="106" spans="1:6">
      <c r="A106" t="s">
        <v>1056</v>
      </c>
      <c r="B106" s="12">
        <v>50</v>
      </c>
      <c r="C106" s="13" t="s">
        <v>668</v>
      </c>
      <c r="D106" s="13" t="s">
        <v>1022</v>
      </c>
      <c r="E106">
        <v>9</v>
      </c>
      <c r="F106" s="14"/>
    </row>
    <row r="107" spans="1:6">
      <c r="A107" t="s">
        <v>1505</v>
      </c>
      <c r="B107" s="12">
        <v>3</v>
      </c>
      <c r="C107" s="13" t="s">
        <v>411</v>
      </c>
      <c r="D107" s="13" t="s">
        <v>1506</v>
      </c>
    </row>
    <row r="108" spans="1:6">
      <c r="A108" t="s">
        <v>1178</v>
      </c>
      <c r="B108" s="12">
        <v>20</v>
      </c>
      <c r="C108" s="13" t="s">
        <v>614</v>
      </c>
      <c r="D108" s="13" t="s">
        <v>1022</v>
      </c>
      <c r="E108">
        <v>9</v>
      </c>
      <c r="F108" s="14"/>
    </row>
    <row r="109" spans="1:6">
      <c r="A109" t="s">
        <v>962</v>
      </c>
      <c r="B109" s="12">
        <v>30</v>
      </c>
      <c r="C109" s="13" t="s">
        <v>638</v>
      </c>
      <c r="D109" s="13" t="s">
        <v>965</v>
      </c>
    </row>
    <row r="110" spans="1:6">
      <c r="A110" t="s">
        <v>998</v>
      </c>
      <c r="B110" s="12">
        <v>49</v>
      </c>
      <c r="C110" s="13" t="s">
        <v>709</v>
      </c>
      <c r="D110" s="13" t="s">
        <v>965</v>
      </c>
    </row>
  </sheetData>
  <autoFilter xmlns:etc="http://www.wps.cn/officeDocument/2017/etCustomData" ref="D1:D110" etc:filterBottomFollowUsedRange="0">
    <extLst/>
  </autoFilter>
  <sortState ref="A2:E110">
    <sortCondition ref="E2"/>
  </sortState>
  <mergeCells count="9">
    <mergeCell ref="F4:F19"/>
    <mergeCell ref="F23:F43"/>
    <mergeCell ref="F45:F59"/>
    <mergeCell ref="F61:F70"/>
    <mergeCell ref="F72:F80"/>
    <mergeCell ref="F82:F88"/>
    <mergeCell ref="F91:F96"/>
    <mergeCell ref="F97:F101"/>
    <mergeCell ref="F102:F108"/>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151"/>
  <sheetViews>
    <sheetView workbookViewId="0">
      <selection activeCell="B3" sqref="B3"/>
    </sheetView>
  </sheetViews>
  <sheetFormatPr defaultColWidth="8.72727272727273" defaultRowHeight="14" outlineLevelCol="2"/>
  <cols>
    <col min="1" max="1" width="84.9090909090909" style="5"/>
    <col min="2" max="2" width="14.9090909090909" style="5"/>
    <col min="3" max="3" width="20.8181818181818" style="5"/>
    <col min="4" max="16384" width="8.72727272727273" style="5"/>
  </cols>
  <sheetData>
    <row r="3" s="5" customFormat="1" spans="1:3">
      <c r="A3" s="5" t="s">
        <v>1702</v>
      </c>
      <c r="B3" s="5" t="s">
        <v>1703</v>
      </c>
      <c r="C3" s="6" t="s">
        <v>1704</v>
      </c>
    </row>
    <row r="4" s="5" customFormat="1" spans="1:3">
      <c r="A4" s="5" t="s">
        <v>1705</v>
      </c>
      <c r="B4" s="8">
        <v>5.60714285714286</v>
      </c>
      <c r="C4" s="5">
        <v>7</v>
      </c>
    </row>
    <row r="5" s="5" customFormat="1" spans="1:3">
      <c r="A5" s="5" t="s">
        <v>1706</v>
      </c>
      <c r="B5" s="8">
        <v>4.02380952380953</v>
      </c>
      <c r="C5" s="5">
        <v>5</v>
      </c>
    </row>
    <row r="6" s="5" customFormat="1" spans="1:3">
      <c r="A6" s="5" t="s">
        <v>1707</v>
      </c>
      <c r="B6" s="8">
        <v>2.58333333333333</v>
      </c>
      <c r="C6" s="5">
        <v>4</v>
      </c>
    </row>
    <row r="7" s="5" customFormat="1" spans="1:3">
      <c r="A7" s="5" t="s">
        <v>1708</v>
      </c>
      <c r="B7" s="8">
        <v>2.41666666666667</v>
      </c>
      <c r="C7" s="5">
        <v>4</v>
      </c>
    </row>
    <row r="8" s="5" customFormat="1" spans="1:3">
      <c r="A8" s="5" t="s">
        <v>1709</v>
      </c>
      <c r="B8" s="8">
        <v>2.33333333333333</v>
      </c>
      <c r="C8" s="5">
        <v>3</v>
      </c>
    </row>
    <row r="9" s="5" customFormat="1" spans="1:3">
      <c r="A9" s="5" t="s">
        <v>1710</v>
      </c>
      <c r="B9" s="8">
        <v>2</v>
      </c>
      <c r="C9" s="5">
        <v>2</v>
      </c>
    </row>
    <row r="10" s="5" customFormat="1" spans="1:3">
      <c r="A10" s="5" t="s">
        <v>1711</v>
      </c>
      <c r="B10" s="8">
        <v>2</v>
      </c>
      <c r="C10" s="5">
        <v>2</v>
      </c>
    </row>
    <row r="11" s="5" customFormat="1" spans="1:3">
      <c r="A11" s="5" t="s">
        <v>1712</v>
      </c>
      <c r="B11" s="8">
        <v>2</v>
      </c>
      <c r="C11" s="5">
        <v>2</v>
      </c>
    </row>
    <row r="12" s="5" customFormat="1" spans="1:3">
      <c r="A12" s="5" t="s">
        <v>1713</v>
      </c>
      <c r="B12" s="8">
        <v>1.88333333333333</v>
      </c>
      <c r="C12" s="5">
        <v>4</v>
      </c>
    </row>
    <row r="13" s="5" customFormat="1" spans="1:3">
      <c r="A13" s="5" t="s">
        <v>1714</v>
      </c>
      <c r="B13" s="8">
        <v>1.8</v>
      </c>
      <c r="C13" s="5">
        <v>2</v>
      </c>
    </row>
    <row r="14" s="5" customFormat="1" spans="1:3">
      <c r="A14" s="5" t="s">
        <v>1715</v>
      </c>
      <c r="B14" s="8">
        <v>1.7</v>
      </c>
      <c r="C14" s="5">
        <v>3</v>
      </c>
    </row>
    <row r="15" s="5" customFormat="1" spans="1:3">
      <c r="A15" s="5" t="s">
        <v>1716</v>
      </c>
      <c r="B15" s="8">
        <v>1.5</v>
      </c>
      <c r="C15" s="5">
        <v>2</v>
      </c>
    </row>
    <row r="16" s="5" customFormat="1" spans="1:3">
      <c r="A16" s="5" t="s">
        <v>1717</v>
      </c>
      <c r="B16" s="8">
        <v>1.41666666666667</v>
      </c>
    </row>
    <row r="17" s="5" customFormat="1" spans="1:2">
      <c r="A17" s="5" t="s">
        <v>1718</v>
      </c>
      <c r="B17" s="8">
        <v>1.25</v>
      </c>
    </row>
    <row r="18" s="5" customFormat="1" spans="1:2">
      <c r="A18" s="5" t="s">
        <v>1719</v>
      </c>
      <c r="B18" s="8">
        <v>1.25</v>
      </c>
    </row>
    <row r="19" s="5" customFormat="1" spans="1:2">
      <c r="A19" s="5" t="s">
        <v>1720</v>
      </c>
      <c r="B19" s="8">
        <v>1.16666666666667</v>
      </c>
    </row>
    <row r="20" s="5" customFormat="1" spans="1:2">
      <c r="A20" s="5" t="s">
        <v>1721</v>
      </c>
      <c r="B20" s="8">
        <v>1.09523809523809</v>
      </c>
    </row>
    <row r="21" s="5" customFormat="1" spans="1:2">
      <c r="A21" s="5" t="s">
        <v>1722</v>
      </c>
      <c r="B21" s="8">
        <v>1.08333333333333</v>
      </c>
    </row>
    <row r="22" s="5" customFormat="1" spans="1:2">
      <c r="A22" s="5" t="s">
        <v>1723</v>
      </c>
      <c r="B22" s="8">
        <v>1</v>
      </c>
    </row>
    <row r="23" s="5" customFormat="1" spans="1:2">
      <c r="A23" s="5" t="s">
        <v>1724</v>
      </c>
      <c r="B23" s="8">
        <v>1</v>
      </c>
    </row>
    <row r="24" s="5" customFormat="1" spans="1:2">
      <c r="A24" s="5" t="s">
        <v>1725</v>
      </c>
      <c r="B24" s="8">
        <v>1</v>
      </c>
    </row>
    <row r="25" s="5" customFormat="1" spans="1:2">
      <c r="A25" s="5" t="s">
        <v>1726</v>
      </c>
      <c r="B25" s="8">
        <v>1</v>
      </c>
    </row>
    <row r="26" s="5" customFormat="1" spans="1:2">
      <c r="A26" s="5" t="s">
        <v>1727</v>
      </c>
      <c r="B26" s="8">
        <v>1</v>
      </c>
    </row>
    <row r="27" s="5" customFormat="1" spans="1:2">
      <c r="A27" s="5" t="s">
        <v>1728</v>
      </c>
      <c r="B27" s="8">
        <v>1</v>
      </c>
    </row>
    <row r="28" s="5" customFormat="1" spans="1:2">
      <c r="A28" s="5" t="s">
        <v>1729</v>
      </c>
      <c r="B28" s="8">
        <v>1</v>
      </c>
    </row>
    <row r="29" s="5" customFormat="1" spans="1:2">
      <c r="A29" s="5" t="s">
        <v>1730</v>
      </c>
      <c r="B29" s="8">
        <v>1</v>
      </c>
    </row>
    <row r="30" s="5" customFormat="1" spans="1:2">
      <c r="A30" s="5" t="s">
        <v>1731</v>
      </c>
      <c r="B30" s="8">
        <v>1</v>
      </c>
    </row>
    <row r="31" s="5" customFormat="1" spans="1:2">
      <c r="A31" s="5" t="s">
        <v>1732</v>
      </c>
      <c r="B31" s="8">
        <v>1</v>
      </c>
    </row>
    <row r="32" s="5" customFormat="1" spans="1:2">
      <c r="A32" s="5" t="s">
        <v>1733</v>
      </c>
      <c r="B32" s="8">
        <v>1</v>
      </c>
    </row>
    <row r="33" s="5" customFormat="1" spans="1:2">
      <c r="A33" s="5" t="s">
        <v>1734</v>
      </c>
      <c r="B33" s="8">
        <v>1</v>
      </c>
    </row>
    <row r="34" s="5" customFormat="1" spans="1:2">
      <c r="A34" s="5" t="s">
        <v>1735</v>
      </c>
      <c r="B34" s="8">
        <v>1</v>
      </c>
    </row>
    <row r="35" s="5" customFormat="1" spans="1:2">
      <c r="A35" s="5" t="s">
        <v>1736</v>
      </c>
      <c r="B35" s="8">
        <v>1</v>
      </c>
    </row>
    <row r="36" s="5" customFormat="1" spans="1:2">
      <c r="A36" s="5" t="s">
        <v>1737</v>
      </c>
      <c r="B36" s="8">
        <v>1</v>
      </c>
    </row>
    <row r="37" s="5" customFormat="1" spans="1:2">
      <c r="A37" s="5" t="s">
        <v>1738</v>
      </c>
      <c r="B37" s="8">
        <v>1</v>
      </c>
    </row>
    <row r="38" s="5" customFormat="1" spans="1:2">
      <c r="A38" s="5" t="s">
        <v>1739</v>
      </c>
      <c r="B38" s="8">
        <v>1</v>
      </c>
    </row>
    <row r="39" s="5" customFormat="1" spans="1:2">
      <c r="A39" s="5" t="s">
        <v>1740</v>
      </c>
      <c r="B39" s="8">
        <v>1</v>
      </c>
    </row>
    <row r="40" s="5" customFormat="1" spans="1:2">
      <c r="A40" s="5" t="s">
        <v>1741</v>
      </c>
      <c r="B40" s="8">
        <v>1</v>
      </c>
    </row>
    <row r="41" s="5" customFormat="1" spans="1:2">
      <c r="A41" s="5" t="s">
        <v>1742</v>
      </c>
      <c r="B41" s="8">
        <v>1</v>
      </c>
    </row>
    <row r="42" s="5" customFormat="1" spans="1:2">
      <c r="A42" s="5" t="s">
        <v>1743</v>
      </c>
      <c r="B42" s="8">
        <v>1</v>
      </c>
    </row>
    <row r="43" s="5" customFormat="1" spans="1:2">
      <c r="A43" s="5" t="s">
        <v>1744</v>
      </c>
      <c r="B43" s="8">
        <v>1</v>
      </c>
    </row>
    <row r="44" s="5" customFormat="1" spans="1:2">
      <c r="A44" s="5" t="s">
        <v>1745</v>
      </c>
      <c r="B44" s="8">
        <v>0.999999999999999</v>
      </c>
    </row>
    <row r="45" s="5" customFormat="1" spans="1:2">
      <c r="A45" s="5" t="s">
        <v>1746</v>
      </c>
      <c r="B45" s="8">
        <v>0.999999999999999</v>
      </c>
    </row>
    <row r="46" s="5" customFormat="1" spans="1:2">
      <c r="A46" s="5" t="s">
        <v>1747</v>
      </c>
      <c r="B46" s="8">
        <v>0.999999999999999</v>
      </c>
    </row>
    <row r="47" s="5" customFormat="1" spans="1:2">
      <c r="A47" s="5" t="s">
        <v>1748</v>
      </c>
      <c r="B47" s="8">
        <v>0.999999999999999</v>
      </c>
    </row>
    <row r="48" s="5" customFormat="1" spans="1:2">
      <c r="A48" s="5" t="s">
        <v>1749</v>
      </c>
      <c r="B48" s="8">
        <v>0.914285714285715</v>
      </c>
    </row>
    <row r="49" s="5" customFormat="1" spans="1:2">
      <c r="A49" s="5" t="s">
        <v>1750</v>
      </c>
      <c r="B49" s="8">
        <v>0.857142857142858</v>
      </c>
    </row>
    <row r="50" s="5" customFormat="1" spans="1:2">
      <c r="A50" s="5" t="s">
        <v>1751</v>
      </c>
      <c r="B50" s="8">
        <v>0.833333333333335</v>
      </c>
    </row>
    <row r="51" s="5" customFormat="1" spans="1:2">
      <c r="A51" s="5" t="s">
        <v>1752</v>
      </c>
      <c r="B51" s="8">
        <v>0.833333333333335</v>
      </c>
    </row>
    <row r="52" s="5" customFormat="1" spans="1:2">
      <c r="A52" s="5" t="s">
        <v>1753</v>
      </c>
      <c r="B52" s="8">
        <v>0.8</v>
      </c>
    </row>
    <row r="53" s="5" customFormat="1" spans="1:2">
      <c r="A53" s="5" t="s">
        <v>1754</v>
      </c>
      <c r="B53" s="8">
        <v>0.75</v>
      </c>
    </row>
    <row r="54" s="5" customFormat="1" spans="1:2">
      <c r="A54" s="5" t="s">
        <v>1755</v>
      </c>
      <c r="B54" s="8">
        <v>0.75</v>
      </c>
    </row>
    <row r="55" s="5" customFormat="1" spans="1:2">
      <c r="A55" s="5" t="s">
        <v>1756</v>
      </c>
      <c r="B55" s="8">
        <v>0.75</v>
      </c>
    </row>
    <row r="56" s="5" customFormat="1" spans="1:2">
      <c r="A56" s="5" t="s">
        <v>1757</v>
      </c>
      <c r="B56" s="8">
        <v>0.75</v>
      </c>
    </row>
    <row r="57" s="5" customFormat="1" spans="1:2">
      <c r="A57" s="5" t="s">
        <v>1758</v>
      </c>
      <c r="B57" s="8">
        <v>0.75</v>
      </c>
    </row>
    <row r="58" s="5" customFormat="1" spans="1:2">
      <c r="A58" s="5" t="s">
        <v>1759</v>
      </c>
      <c r="B58" s="8">
        <v>0.7</v>
      </c>
    </row>
    <row r="59" s="5" customFormat="1" spans="1:2">
      <c r="A59" s="5" t="s">
        <v>1760</v>
      </c>
      <c r="B59" s="8">
        <v>0.666666666666668</v>
      </c>
    </row>
    <row r="60" s="5" customFormat="1" spans="1:2">
      <c r="A60" s="5" t="s">
        <v>1761</v>
      </c>
      <c r="B60" s="8">
        <v>0.666666666666668</v>
      </c>
    </row>
    <row r="61" s="5" customFormat="1" spans="1:2">
      <c r="A61" s="5" t="s">
        <v>1762</v>
      </c>
      <c r="B61" s="8">
        <v>0.666666666666668</v>
      </c>
    </row>
    <row r="62" s="5" customFormat="1" spans="1:2">
      <c r="A62" s="5" t="s">
        <v>1763</v>
      </c>
      <c r="B62" s="8">
        <v>0.666666666666667</v>
      </c>
    </row>
    <row r="63" s="5" customFormat="1" spans="1:2">
      <c r="A63" s="5" t="s">
        <v>1764</v>
      </c>
      <c r="B63" s="8">
        <v>0.666666666666666</v>
      </c>
    </row>
    <row r="64" s="5" customFormat="1" spans="1:2">
      <c r="A64" s="5" t="s">
        <v>1765</v>
      </c>
      <c r="B64" s="8">
        <v>0.666666666666666</v>
      </c>
    </row>
    <row r="65" s="5" customFormat="1" spans="1:2">
      <c r="A65" s="5" t="s">
        <v>1766</v>
      </c>
      <c r="B65" s="8">
        <v>0.666666666666666</v>
      </c>
    </row>
    <row r="66" s="5" customFormat="1" spans="1:2">
      <c r="A66" s="5" t="s">
        <v>1767</v>
      </c>
      <c r="B66" s="8">
        <v>0.666666666666666</v>
      </c>
    </row>
    <row r="67" s="5" customFormat="1" spans="1:2">
      <c r="A67" s="5" t="s">
        <v>1768</v>
      </c>
      <c r="B67" s="8">
        <v>0.666666666666666</v>
      </c>
    </row>
    <row r="68" s="5" customFormat="1" spans="1:2">
      <c r="A68" s="5" t="s">
        <v>1769</v>
      </c>
      <c r="B68" s="8">
        <v>0.666666666666666</v>
      </c>
    </row>
    <row r="69" s="5" customFormat="1" spans="1:2">
      <c r="A69" s="5" t="s">
        <v>1770</v>
      </c>
      <c r="B69" s="8">
        <v>0.666666666666666</v>
      </c>
    </row>
    <row r="70" s="5" customFormat="1" spans="1:2">
      <c r="A70" s="5" t="s">
        <v>1771</v>
      </c>
      <c r="B70" s="8">
        <v>0.666666666666666</v>
      </c>
    </row>
    <row r="71" s="5" customFormat="1" spans="1:2">
      <c r="A71" s="5" t="s">
        <v>1772</v>
      </c>
      <c r="B71" s="8">
        <v>0.666666666666666</v>
      </c>
    </row>
    <row r="72" s="5" customFormat="1" spans="1:2">
      <c r="A72" s="5" t="s">
        <v>1773</v>
      </c>
      <c r="B72" s="8">
        <v>0.6</v>
      </c>
    </row>
    <row r="73" s="5" customFormat="1" spans="1:2">
      <c r="A73" s="5" t="s">
        <v>1774</v>
      </c>
      <c r="B73" s="8">
        <v>0.583333333333333</v>
      </c>
    </row>
    <row r="74" s="5" customFormat="1" spans="1:2">
      <c r="A74" s="5" t="s">
        <v>1775</v>
      </c>
      <c r="B74" s="8">
        <v>0.583333333333333</v>
      </c>
    </row>
    <row r="75" s="5" customFormat="1" spans="1:2">
      <c r="A75" s="5" t="s">
        <v>1776</v>
      </c>
      <c r="B75" s="8">
        <v>0.571428571428572</v>
      </c>
    </row>
    <row r="76" s="5" customFormat="1" spans="1:2">
      <c r="A76" s="5" t="s">
        <v>1777</v>
      </c>
      <c r="B76" s="8">
        <v>0.500000000000001</v>
      </c>
    </row>
    <row r="77" s="5" customFormat="1" spans="1:2">
      <c r="A77" s="5" t="s">
        <v>1778</v>
      </c>
      <c r="B77" s="8">
        <v>0.500000000000001</v>
      </c>
    </row>
    <row r="78" s="5" customFormat="1" spans="1:2">
      <c r="A78" s="5" t="s">
        <v>1779</v>
      </c>
      <c r="B78" s="8">
        <v>0.500000000000001</v>
      </c>
    </row>
    <row r="79" s="5" customFormat="1" spans="1:2">
      <c r="A79" s="5" t="s">
        <v>1780</v>
      </c>
      <c r="B79" s="8">
        <v>0.500000000000001</v>
      </c>
    </row>
    <row r="80" s="5" customFormat="1" spans="1:2">
      <c r="A80" s="5" t="s">
        <v>1781</v>
      </c>
      <c r="B80" s="8">
        <v>0.5</v>
      </c>
    </row>
    <row r="81" s="5" customFormat="1" spans="1:2">
      <c r="A81" s="5" t="s">
        <v>1782</v>
      </c>
      <c r="B81" s="8">
        <v>0.5</v>
      </c>
    </row>
    <row r="82" s="5" customFormat="1" spans="1:2">
      <c r="A82" s="5" t="s">
        <v>1783</v>
      </c>
      <c r="B82" s="8">
        <v>0.5</v>
      </c>
    </row>
    <row r="83" s="5" customFormat="1" spans="1:2">
      <c r="A83" s="5" t="s">
        <v>1784</v>
      </c>
      <c r="B83" s="8">
        <v>0.5</v>
      </c>
    </row>
    <row r="84" s="5" customFormat="1" spans="1:2">
      <c r="A84" s="5" t="s">
        <v>1785</v>
      </c>
      <c r="B84" s="8">
        <v>0.5</v>
      </c>
    </row>
    <row r="85" s="5" customFormat="1" spans="1:2">
      <c r="A85" s="5" t="s">
        <v>1786</v>
      </c>
      <c r="B85" s="8">
        <v>0.5</v>
      </c>
    </row>
    <row r="86" s="5" customFormat="1" spans="1:2">
      <c r="A86" s="5" t="s">
        <v>1787</v>
      </c>
      <c r="B86" s="8">
        <v>0.5</v>
      </c>
    </row>
    <row r="87" s="5" customFormat="1" spans="1:2">
      <c r="A87" s="5" t="s">
        <v>1788</v>
      </c>
      <c r="B87" s="8">
        <v>0.5</v>
      </c>
    </row>
    <row r="88" s="5" customFormat="1" spans="1:2">
      <c r="A88" s="5" t="s">
        <v>1789</v>
      </c>
      <c r="B88" s="8">
        <v>0.5</v>
      </c>
    </row>
    <row r="89" s="5" customFormat="1" spans="1:2">
      <c r="A89" s="5" t="s">
        <v>1790</v>
      </c>
      <c r="B89" s="8">
        <v>0.5</v>
      </c>
    </row>
    <row r="90" s="5" customFormat="1" spans="1:2">
      <c r="A90" s="5" t="s">
        <v>1791</v>
      </c>
      <c r="B90" s="8">
        <v>0.5</v>
      </c>
    </row>
    <row r="91" s="5" customFormat="1" spans="1:2">
      <c r="A91" s="5" t="s">
        <v>1792</v>
      </c>
      <c r="B91" s="8">
        <v>0.5</v>
      </c>
    </row>
    <row r="92" s="5" customFormat="1" spans="1:2">
      <c r="A92" s="5" t="s">
        <v>1793</v>
      </c>
      <c r="B92" s="8">
        <v>0.5</v>
      </c>
    </row>
    <row r="93" s="5" customFormat="1" spans="1:2">
      <c r="A93" s="5" t="s">
        <v>1794</v>
      </c>
      <c r="B93" s="8">
        <v>0.5</v>
      </c>
    </row>
    <row r="94" s="5" customFormat="1" spans="1:2">
      <c r="A94" s="5" t="s">
        <v>1795</v>
      </c>
      <c r="B94" s="8">
        <v>0.476190476190476</v>
      </c>
    </row>
    <row r="95" s="5" customFormat="1" spans="1:2">
      <c r="A95" s="5" t="s">
        <v>1796</v>
      </c>
      <c r="B95" s="8">
        <v>0.428571428571429</v>
      </c>
    </row>
    <row r="96" s="5" customFormat="1" spans="1:2">
      <c r="A96" s="5" t="s">
        <v>1797</v>
      </c>
      <c r="B96" s="8">
        <v>0.428571428571429</v>
      </c>
    </row>
    <row r="97" s="5" customFormat="1" spans="1:2">
      <c r="A97" s="5" t="s">
        <v>1798</v>
      </c>
      <c r="B97" s="8">
        <v>0.4</v>
      </c>
    </row>
    <row r="98" s="5" customFormat="1" spans="1:2">
      <c r="A98" s="5" t="s">
        <v>1799</v>
      </c>
      <c r="B98" s="8">
        <v>0.4</v>
      </c>
    </row>
    <row r="99" s="5" customFormat="1" spans="1:2">
      <c r="A99" s="5" t="s">
        <v>1800</v>
      </c>
      <c r="B99" s="8">
        <v>0.333333333333334</v>
      </c>
    </row>
    <row r="100" s="5" customFormat="1" spans="1:2">
      <c r="A100" s="5" t="s">
        <v>1801</v>
      </c>
      <c r="B100" s="8">
        <v>0.333333333333334</v>
      </c>
    </row>
    <row r="101" s="5" customFormat="1" spans="1:2">
      <c r="A101" s="5" t="s">
        <v>1802</v>
      </c>
      <c r="B101" s="8">
        <v>0.333333333333334</v>
      </c>
    </row>
    <row r="102" s="5" customFormat="1" spans="1:2">
      <c r="A102" s="5" t="s">
        <v>1803</v>
      </c>
      <c r="B102" s="8">
        <v>0.333333333333334</v>
      </c>
    </row>
    <row r="103" s="5" customFormat="1" spans="1:2">
      <c r="A103" s="5" t="s">
        <v>1804</v>
      </c>
      <c r="B103" s="8">
        <v>0.333333333333334</v>
      </c>
    </row>
    <row r="104" s="5" customFormat="1" spans="1:2">
      <c r="A104" s="5" t="s">
        <v>1805</v>
      </c>
      <c r="B104" s="8">
        <v>0.333333333333334</v>
      </c>
    </row>
    <row r="105" s="5" customFormat="1" spans="1:2">
      <c r="A105" s="5" t="s">
        <v>1806</v>
      </c>
      <c r="B105" s="8">
        <v>0.333333333333333</v>
      </c>
    </row>
    <row r="106" s="5" customFormat="1" spans="1:2">
      <c r="A106" s="5" t="s">
        <v>1807</v>
      </c>
      <c r="B106" s="8">
        <v>0.333333333333333</v>
      </c>
    </row>
    <row r="107" s="5" customFormat="1" spans="1:2">
      <c r="A107" s="5" t="s">
        <v>1808</v>
      </c>
      <c r="B107" s="8">
        <v>0.333333333333333</v>
      </c>
    </row>
    <row r="108" s="5" customFormat="1" spans="1:2">
      <c r="A108" s="5" t="s">
        <v>1809</v>
      </c>
      <c r="B108" s="8">
        <v>0.333333333333333</v>
      </c>
    </row>
    <row r="109" s="5" customFormat="1" spans="1:2">
      <c r="A109" s="5" t="s">
        <v>1810</v>
      </c>
      <c r="B109" s="8">
        <v>0.333333333333333</v>
      </c>
    </row>
    <row r="110" s="5" customFormat="1" spans="1:2">
      <c r="A110" s="5" t="s">
        <v>1811</v>
      </c>
      <c r="B110" s="8">
        <v>0.333333333333333</v>
      </c>
    </row>
    <row r="111" s="5" customFormat="1" spans="1:2">
      <c r="A111" s="5" t="s">
        <v>1812</v>
      </c>
      <c r="B111" s="8">
        <v>0.333333333333333</v>
      </c>
    </row>
    <row r="112" s="5" customFormat="1" spans="1:2">
      <c r="A112" s="5" t="s">
        <v>1813</v>
      </c>
      <c r="B112" s="8">
        <v>0.333333333333333</v>
      </c>
    </row>
    <row r="113" s="5" customFormat="1" spans="1:2">
      <c r="A113" s="5" t="s">
        <v>1814</v>
      </c>
      <c r="B113" s="8">
        <v>0.285714285714286</v>
      </c>
    </row>
    <row r="114" s="5" customFormat="1" spans="1:2">
      <c r="A114" s="5" t="s">
        <v>1815</v>
      </c>
      <c r="B114" s="8">
        <v>0.285714285714286</v>
      </c>
    </row>
    <row r="115" s="5" customFormat="1" spans="1:2">
      <c r="A115" s="5" t="s">
        <v>1816</v>
      </c>
      <c r="B115" s="8">
        <v>0.285714285714286</v>
      </c>
    </row>
    <row r="116" s="5" customFormat="1" spans="1:2">
      <c r="A116" s="5" t="s">
        <v>1817</v>
      </c>
      <c r="B116" s="8">
        <v>0.25</v>
      </c>
    </row>
    <row r="117" s="5" customFormat="1" spans="1:2">
      <c r="A117" s="5" t="s">
        <v>1818</v>
      </c>
      <c r="B117" s="8">
        <v>0.25</v>
      </c>
    </row>
    <row r="118" s="5" customFormat="1" spans="1:2">
      <c r="A118" s="5" t="s">
        <v>1819</v>
      </c>
      <c r="B118" s="8">
        <v>0.25</v>
      </c>
    </row>
    <row r="119" s="5" customFormat="1" spans="1:2">
      <c r="A119" s="5" t="s">
        <v>1820</v>
      </c>
      <c r="B119" s="8">
        <v>0.25</v>
      </c>
    </row>
    <row r="120" s="5" customFormat="1" spans="1:2">
      <c r="A120" s="5" t="s">
        <v>1821</v>
      </c>
      <c r="B120" s="8">
        <v>0.25</v>
      </c>
    </row>
    <row r="121" s="5" customFormat="1" spans="1:2">
      <c r="A121" s="5" t="s">
        <v>1822</v>
      </c>
      <c r="B121" s="8">
        <v>0.25</v>
      </c>
    </row>
    <row r="122" s="5" customFormat="1" spans="1:2">
      <c r="A122" s="5" t="s">
        <v>1823</v>
      </c>
      <c r="B122" s="8">
        <v>0.25</v>
      </c>
    </row>
    <row r="123" s="5" customFormat="1" spans="1:2">
      <c r="A123" s="5" t="s">
        <v>1824</v>
      </c>
      <c r="B123" s="8">
        <v>0.25</v>
      </c>
    </row>
    <row r="124" s="5" customFormat="1" spans="1:2">
      <c r="A124" s="5" t="s">
        <v>1825</v>
      </c>
      <c r="B124" s="8">
        <v>0.25</v>
      </c>
    </row>
    <row r="125" s="5" customFormat="1" spans="1:2">
      <c r="A125" s="5" t="s">
        <v>1826</v>
      </c>
      <c r="B125" s="8">
        <v>0.25</v>
      </c>
    </row>
    <row r="126" s="5" customFormat="1" spans="1:2">
      <c r="A126" s="5" t="s">
        <v>1827</v>
      </c>
      <c r="B126" s="8">
        <v>0.25</v>
      </c>
    </row>
    <row r="127" s="5" customFormat="1" spans="1:2">
      <c r="A127" s="5" t="s">
        <v>1828</v>
      </c>
      <c r="B127" s="8">
        <v>0.25</v>
      </c>
    </row>
    <row r="128" s="5" customFormat="1" spans="1:2">
      <c r="A128" s="5" t="s">
        <v>1829</v>
      </c>
      <c r="B128" s="8">
        <v>0.25</v>
      </c>
    </row>
    <row r="129" s="5" customFormat="1" spans="1:2">
      <c r="A129" s="5" t="s">
        <v>1830</v>
      </c>
      <c r="B129" s="8">
        <v>0.25</v>
      </c>
    </row>
    <row r="130" s="5" customFormat="1" spans="1:2">
      <c r="A130" s="5" t="s">
        <v>1831</v>
      </c>
      <c r="B130" s="8">
        <v>0.25</v>
      </c>
    </row>
    <row r="131" s="5" customFormat="1" spans="1:2">
      <c r="A131" s="5" t="s">
        <v>1832</v>
      </c>
      <c r="B131" s="8">
        <v>0.25</v>
      </c>
    </row>
    <row r="132" s="5" customFormat="1" spans="1:2">
      <c r="A132" s="5" t="s">
        <v>1833</v>
      </c>
      <c r="B132" s="8">
        <v>0.25</v>
      </c>
    </row>
    <row r="133" s="5" customFormat="1" spans="1:2">
      <c r="A133" s="5" t="s">
        <v>1834</v>
      </c>
      <c r="B133" s="8">
        <v>0.25</v>
      </c>
    </row>
    <row r="134" s="5" customFormat="1" spans="1:2">
      <c r="A134" s="5" t="s">
        <v>1835</v>
      </c>
      <c r="B134" s="8">
        <v>0.25</v>
      </c>
    </row>
    <row r="135" s="5" customFormat="1" spans="1:2">
      <c r="A135" s="5" t="s">
        <v>1836</v>
      </c>
      <c r="B135" s="8">
        <v>0.25</v>
      </c>
    </row>
    <row r="136" s="5" customFormat="1" spans="1:2">
      <c r="A136" s="5" t="s">
        <v>1837</v>
      </c>
      <c r="B136" s="8">
        <v>0.25</v>
      </c>
    </row>
    <row r="137" s="5" customFormat="1" spans="1:2">
      <c r="A137" s="5" t="s">
        <v>1838</v>
      </c>
      <c r="B137" s="8">
        <v>0.2</v>
      </c>
    </row>
    <row r="138" s="5" customFormat="1" spans="1:2">
      <c r="A138" s="5" t="s">
        <v>1839</v>
      </c>
      <c r="B138" s="8">
        <v>0.2</v>
      </c>
    </row>
    <row r="139" s="5" customFormat="1" spans="1:2">
      <c r="A139" s="5" t="s">
        <v>1840</v>
      </c>
      <c r="B139" s="8">
        <v>0.2</v>
      </c>
    </row>
    <row r="140" s="5" customFormat="1" spans="1:2">
      <c r="A140" s="5" t="s">
        <v>1841</v>
      </c>
      <c r="B140" s="8">
        <v>0.166666666666667</v>
      </c>
    </row>
    <row r="141" s="5" customFormat="1" spans="1:2">
      <c r="A141" s="5" t="s">
        <v>1842</v>
      </c>
      <c r="B141" s="8">
        <v>0.166666666666667</v>
      </c>
    </row>
    <row r="142" s="5" customFormat="1" spans="1:2">
      <c r="A142" s="5" t="s">
        <v>1843</v>
      </c>
      <c r="B142" s="8">
        <v>0.166666666666667</v>
      </c>
    </row>
    <row r="143" s="5" customFormat="1" spans="1:2">
      <c r="A143" s="5" t="s">
        <v>1844</v>
      </c>
      <c r="B143" s="8">
        <v>0.166666666666667</v>
      </c>
    </row>
    <row r="144" s="5" customFormat="1" spans="1:2">
      <c r="A144" s="5" t="s">
        <v>1845</v>
      </c>
      <c r="B144" s="8">
        <v>0.166666666666667</v>
      </c>
    </row>
    <row r="145" s="5" customFormat="1" spans="1:2">
      <c r="A145" s="5" t="s">
        <v>1846</v>
      </c>
      <c r="B145" s="8">
        <v>0.142857142857143</v>
      </c>
    </row>
    <row r="146" s="5" customFormat="1" spans="1:2">
      <c r="A146" s="5" t="s">
        <v>1847</v>
      </c>
      <c r="B146" s="8">
        <v>0.142857142857143</v>
      </c>
    </row>
    <row r="147" s="5" customFormat="1" spans="1:2">
      <c r="A147" s="5" t="s">
        <v>1848</v>
      </c>
      <c r="B147" s="8">
        <v>0.142857142857143</v>
      </c>
    </row>
    <row r="148" s="5" customFormat="1" spans="1:2">
      <c r="A148" s="5" t="s">
        <v>1849</v>
      </c>
      <c r="B148" s="8">
        <v>0.142857142857143</v>
      </c>
    </row>
    <row r="149" s="5" customFormat="1" spans="1:2">
      <c r="A149" s="5" t="s">
        <v>1850</v>
      </c>
      <c r="B149" s="8">
        <v>0.142857142857143</v>
      </c>
    </row>
    <row r="150" s="5" customFormat="1" spans="1:2">
      <c r="A150" s="5" t="s">
        <v>1851</v>
      </c>
      <c r="B150" s="8">
        <v>0.142857142857143</v>
      </c>
    </row>
    <row r="151" s="5" customFormat="1" spans="1:2">
      <c r="A151" s="5" t="s">
        <v>1532</v>
      </c>
      <c r="B151" s="8">
        <v>107</v>
      </c>
    </row>
  </sheetData>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41"/>
  <sheetViews>
    <sheetView workbookViewId="0">
      <selection activeCell="D9" sqref="D9"/>
    </sheetView>
  </sheetViews>
  <sheetFormatPr defaultColWidth="8.72727272727273" defaultRowHeight="14" outlineLevelCol="2"/>
  <cols>
    <col min="1" max="1" width="18.4545454545455" style="5"/>
    <col min="2" max="2" width="14.9090909090909" style="5"/>
    <col min="3" max="3" width="20.8181818181818" style="5"/>
    <col min="4" max="4" width="21.9090909090909" style="5"/>
    <col min="5" max="16384" width="8.72727272727273" style="5"/>
  </cols>
  <sheetData>
    <row r="3" s="5" customFormat="1" spans="1:3">
      <c r="A3" t="s">
        <v>1852</v>
      </c>
      <c r="B3" t="s">
        <v>1703</v>
      </c>
      <c r="C3" s="6" t="s">
        <v>1704</v>
      </c>
    </row>
    <row r="4" s="5" customFormat="1" spans="1:3">
      <c r="A4" t="s">
        <v>1853</v>
      </c>
      <c r="B4" s="7">
        <v>15.4571428571428</v>
      </c>
      <c r="C4" s="5">
        <v>18</v>
      </c>
    </row>
    <row r="5" s="5" customFormat="1" spans="1:3">
      <c r="A5" t="s">
        <v>1854</v>
      </c>
      <c r="B5" s="7">
        <v>14.4761904761905</v>
      </c>
      <c r="C5" s="5">
        <v>19</v>
      </c>
    </row>
    <row r="6" s="5" customFormat="1" spans="1:3">
      <c r="A6" t="s">
        <v>1855</v>
      </c>
      <c r="B6" s="7">
        <v>7.75</v>
      </c>
      <c r="C6" s="5">
        <v>9</v>
      </c>
    </row>
    <row r="7" s="5" customFormat="1" spans="1:3">
      <c r="A7" t="s">
        <v>1856</v>
      </c>
      <c r="B7" s="7">
        <v>7.59285714285714</v>
      </c>
      <c r="C7" s="5">
        <v>11</v>
      </c>
    </row>
    <row r="8" s="5" customFormat="1" spans="1:3">
      <c r="A8" t="s">
        <v>1857</v>
      </c>
      <c r="B8" s="7">
        <v>7.42619047619048</v>
      </c>
      <c r="C8" s="5">
        <v>11</v>
      </c>
    </row>
    <row r="9" s="5" customFormat="1" spans="1:3">
      <c r="A9" t="s">
        <v>1858</v>
      </c>
      <c r="B9" s="7">
        <v>5.60714285714286</v>
      </c>
      <c r="C9" s="5">
        <v>7</v>
      </c>
    </row>
    <row r="10" s="5" customFormat="1" spans="1:3">
      <c r="A10" t="s">
        <v>1859</v>
      </c>
      <c r="B10" s="7">
        <v>4.86904761904762</v>
      </c>
      <c r="C10" s="5">
        <v>8</v>
      </c>
    </row>
    <row r="11" s="5" customFormat="1" spans="1:3">
      <c r="A11" t="s">
        <v>1860</v>
      </c>
      <c r="B11" s="7">
        <v>4</v>
      </c>
      <c r="C11" s="5">
        <v>5</v>
      </c>
    </row>
    <row r="12" s="5" customFormat="1" spans="1:3">
      <c r="A12" t="s">
        <v>1861</v>
      </c>
      <c r="B12" s="7">
        <v>3.97619047619048</v>
      </c>
      <c r="C12" s="5">
        <v>6</v>
      </c>
    </row>
    <row r="13" s="5" customFormat="1" spans="1:3">
      <c r="A13" t="s">
        <v>1862</v>
      </c>
      <c r="B13" s="7">
        <v>3.16666666666667</v>
      </c>
      <c r="C13" s="5">
        <v>6</v>
      </c>
    </row>
    <row r="14" s="5" customFormat="1" spans="1:3">
      <c r="A14" t="s">
        <v>1863</v>
      </c>
      <c r="B14" s="7">
        <v>3</v>
      </c>
      <c r="C14" s="5">
        <v>3</v>
      </c>
    </row>
    <row r="15" s="5" customFormat="1" spans="1:3">
      <c r="A15" t="s">
        <v>1864</v>
      </c>
      <c r="B15" s="7">
        <v>2.75</v>
      </c>
      <c r="C15" s="5">
        <v>4</v>
      </c>
    </row>
    <row r="16" s="5" customFormat="1" spans="1:3">
      <c r="A16" t="s">
        <v>1865</v>
      </c>
      <c r="B16" s="7">
        <v>2.42857142857143</v>
      </c>
      <c r="C16" s="5">
        <v>5</v>
      </c>
    </row>
    <row r="17" s="5" customFormat="1" spans="1:3">
      <c r="A17" t="s">
        <v>1866</v>
      </c>
      <c r="B17" s="7">
        <v>2.25</v>
      </c>
      <c r="C17" s="5">
        <v>3</v>
      </c>
    </row>
    <row r="18" s="5" customFormat="1" spans="1:3">
      <c r="A18" t="s">
        <v>1867</v>
      </c>
      <c r="B18" s="7">
        <v>2</v>
      </c>
      <c r="C18" s="5">
        <v>4</v>
      </c>
    </row>
    <row r="19" s="5" customFormat="1" spans="1:3">
      <c r="A19" t="s">
        <v>1868</v>
      </c>
      <c r="B19" s="7">
        <v>2</v>
      </c>
      <c r="C19" s="5">
        <v>2</v>
      </c>
    </row>
    <row r="20" s="5" customFormat="1" spans="1:3">
      <c r="A20" t="s">
        <v>1869</v>
      </c>
      <c r="B20" s="7">
        <v>2</v>
      </c>
      <c r="C20" s="5">
        <v>2</v>
      </c>
    </row>
    <row r="21" s="5" customFormat="1" spans="1:3">
      <c r="A21" t="s">
        <v>1870</v>
      </c>
      <c r="B21" s="7">
        <v>1.5</v>
      </c>
      <c r="C21" s="5">
        <v>2</v>
      </c>
    </row>
    <row r="22" s="5" customFormat="1" spans="1:3">
      <c r="A22" t="s">
        <v>1871</v>
      </c>
      <c r="B22" s="7">
        <v>1.41666666666667</v>
      </c>
      <c r="C22" s="5">
        <v>2</v>
      </c>
    </row>
    <row r="23" s="5" customFormat="1" spans="1:3">
      <c r="A23" t="s">
        <v>1872</v>
      </c>
      <c r="B23" s="7">
        <v>1.25</v>
      </c>
      <c r="C23" s="5">
        <v>2</v>
      </c>
    </row>
    <row r="24" s="5" customFormat="1" spans="1:3">
      <c r="A24" t="s">
        <v>1873</v>
      </c>
      <c r="B24" s="7">
        <v>1.16666666666667</v>
      </c>
      <c r="C24" s="5">
        <v>2</v>
      </c>
    </row>
    <row r="25" s="5" customFormat="1" spans="1:3">
      <c r="A25" t="s">
        <v>1874</v>
      </c>
      <c r="B25" s="7">
        <v>1</v>
      </c>
      <c r="C25" s="5">
        <v>1</v>
      </c>
    </row>
    <row r="26" s="5" customFormat="1" spans="1:3">
      <c r="A26" t="s">
        <v>1875</v>
      </c>
      <c r="B26" s="7">
        <v>1</v>
      </c>
      <c r="C26" s="5">
        <v>1</v>
      </c>
    </row>
    <row r="27" s="5" customFormat="1" spans="1:3">
      <c r="A27" t="s">
        <v>1876</v>
      </c>
      <c r="B27" s="7">
        <v>1</v>
      </c>
      <c r="C27" s="5">
        <v>1</v>
      </c>
    </row>
    <row r="28" s="5" customFormat="1" spans="1:3">
      <c r="A28" t="s">
        <v>1877</v>
      </c>
      <c r="B28" s="7">
        <v>1</v>
      </c>
      <c r="C28" s="5">
        <v>1</v>
      </c>
    </row>
    <row r="29" s="5" customFormat="1" spans="1:3">
      <c r="A29" t="s">
        <v>1878</v>
      </c>
      <c r="B29" s="7">
        <v>1</v>
      </c>
      <c r="C29" s="5">
        <v>1</v>
      </c>
    </row>
    <row r="30" s="5" customFormat="1" spans="1:3">
      <c r="A30" t="s">
        <v>1879</v>
      </c>
      <c r="B30" s="7">
        <v>0.833333333333335</v>
      </c>
      <c r="C30" s="5">
        <v>1</v>
      </c>
    </row>
    <row r="31" s="5" customFormat="1" spans="1:3">
      <c r="A31" t="s">
        <v>1880</v>
      </c>
      <c r="B31" s="7">
        <v>0.75</v>
      </c>
      <c r="C31" s="5">
        <v>1</v>
      </c>
    </row>
    <row r="32" s="5" customFormat="1" spans="1:3">
      <c r="A32" t="s">
        <v>1881</v>
      </c>
      <c r="B32" s="7">
        <v>0.75</v>
      </c>
      <c r="C32" s="5">
        <v>1</v>
      </c>
    </row>
    <row r="33" s="5" customFormat="1" spans="1:3">
      <c r="A33" t="s">
        <v>1882</v>
      </c>
      <c r="B33" s="7">
        <v>0.666666666666668</v>
      </c>
      <c r="C33" s="5">
        <v>2</v>
      </c>
    </row>
    <row r="34" s="5" customFormat="1" spans="1:3">
      <c r="A34" t="s">
        <v>1883</v>
      </c>
      <c r="B34" s="7">
        <v>0.666666666666668</v>
      </c>
      <c r="C34" s="5">
        <v>1</v>
      </c>
    </row>
    <row r="35" s="5" customFormat="1" spans="1:3">
      <c r="A35" t="s">
        <v>1884</v>
      </c>
      <c r="B35" s="7">
        <v>0.666666666666667</v>
      </c>
      <c r="C35" s="5">
        <v>1</v>
      </c>
    </row>
    <row r="36" s="5" customFormat="1" spans="1:3">
      <c r="A36" t="s">
        <v>1885</v>
      </c>
      <c r="B36" s="7">
        <v>0.5</v>
      </c>
      <c r="C36" s="5">
        <v>1</v>
      </c>
    </row>
    <row r="37" s="5" customFormat="1" spans="1:3">
      <c r="A37" t="s">
        <v>1886</v>
      </c>
      <c r="B37" s="7">
        <v>0.333333333333334</v>
      </c>
      <c r="C37" s="5">
        <v>1</v>
      </c>
    </row>
    <row r="38" s="5" customFormat="1" spans="1:3">
      <c r="A38" t="s">
        <v>1887</v>
      </c>
      <c r="B38" s="7">
        <v>0.333333333333334</v>
      </c>
      <c r="C38" s="5">
        <v>1</v>
      </c>
    </row>
    <row r="39" s="5" customFormat="1" spans="1:3">
      <c r="A39" t="s">
        <v>1888</v>
      </c>
      <c r="B39" s="7">
        <v>0.25</v>
      </c>
      <c r="C39" s="5">
        <v>1</v>
      </c>
    </row>
    <row r="40" s="5" customFormat="1" spans="1:3">
      <c r="A40" t="s">
        <v>1889</v>
      </c>
      <c r="B40" s="7">
        <v>0.166666666666667</v>
      </c>
      <c r="C40" s="5">
        <v>1</v>
      </c>
    </row>
    <row r="41" s="5" customFormat="1" spans="1:3">
      <c r="A41" t="s">
        <v>1532</v>
      </c>
      <c r="B41" s="7">
        <v>107</v>
      </c>
    </row>
  </sheetData>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02"/>
  <sheetViews>
    <sheetView workbookViewId="0">
      <selection activeCell="G11" sqref="G11"/>
    </sheetView>
  </sheetViews>
  <sheetFormatPr defaultColWidth="9" defaultRowHeight="14"/>
  <cols>
    <col min="1" max="1" width="34.7272727272727" style="1" customWidth="1"/>
    <col min="2" max="2" width="35.7272727272727" style="1" customWidth="1"/>
    <col min="3" max="3" width="9" style="1"/>
    <col min="4" max="4" width="23.8181818181818" style="1" customWidth="1"/>
    <col min="5" max="5" width="9" style="1"/>
    <col min="6" max="6" width="42.7272727272727" style="1" customWidth="1"/>
    <col min="7" max="7" width="84.9090909090909" style="1" customWidth="1"/>
    <col min="8" max="8" width="16.4545454545455" style="1" customWidth="1"/>
    <col min="9" max="9" width="15.2727272727273" style="2" customWidth="1"/>
    <col min="10" max="10" width="12.8181818181818" style="2"/>
    <col min="11" max="11" width="12.8181818181818" style="1"/>
    <col min="12" max="16384" width="9" style="1"/>
  </cols>
  <sheetData>
    <row r="1" s="1" customFormat="1" spans="1:10">
      <c r="A1" s="3" t="s">
        <v>1890</v>
      </c>
      <c r="B1" s="3" t="s">
        <v>1891</v>
      </c>
      <c r="C1" s="3" t="s">
        <v>1892</v>
      </c>
      <c r="D1" s="3" t="s">
        <v>1893</v>
      </c>
      <c r="E1" s="3" t="s">
        <v>1894</v>
      </c>
      <c r="F1" s="3" t="s">
        <v>1895</v>
      </c>
      <c r="G1" s="3" t="s">
        <v>1702</v>
      </c>
      <c r="H1" s="3" t="s">
        <v>1852</v>
      </c>
      <c r="I1" s="3" t="s">
        <v>1896</v>
      </c>
      <c r="J1" s="3" t="s">
        <v>1573</v>
      </c>
    </row>
    <row r="2" s="1" customFormat="1" spans="1:10">
      <c r="A2" s="1" t="s">
        <v>1897</v>
      </c>
      <c r="B2" s="1" t="s">
        <v>1898</v>
      </c>
      <c r="C2" s="1">
        <v>2010</v>
      </c>
      <c r="D2" s="1" t="s">
        <v>1899</v>
      </c>
      <c r="E2" s="1" t="s">
        <v>1900</v>
      </c>
      <c r="F2" s="1" t="s">
        <v>1901</v>
      </c>
      <c r="G2" s="1" t="s">
        <v>1766</v>
      </c>
      <c r="H2" s="1" t="s">
        <v>1855</v>
      </c>
      <c r="I2" s="2">
        <v>3</v>
      </c>
      <c r="J2" s="4">
        <f t="shared" ref="J2:J65" si="0">1/I2</f>
        <v>0.333333333333333</v>
      </c>
    </row>
    <row r="3" s="1" customFormat="1" spans="1:10">
      <c r="A3" s="1" t="s">
        <v>1897</v>
      </c>
      <c r="B3" s="1" t="s">
        <v>1898</v>
      </c>
      <c r="C3" s="1">
        <v>2010</v>
      </c>
      <c r="D3" s="1" t="s">
        <v>1902</v>
      </c>
      <c r="E3" s="1" t="s">
        <v>1903</v>
      </c>
      <c r="F3" s="1" t="s">
        <v>1901</v>
      </c>
      <c r="G3" s="1" t="s">
        <v>1766</v>
      </c>
      <c r="H3" s="1" t="s">
        <v>1855</v>
      </c>
      <c r="I3" s="2">
        <v>3</v>
      </c>
      <c r="J3" s="4">
        <f t="shared" si="0"/>
        <v>0.333333333333333</v>
      </c>
    </row>
    <row r="4" s="1" customFormat="1" spans="1:10">
      <c r="A4" s="1" t="s">
        <v>1897</v>
      </c>
      <c r="B4" s="1" t="s">
        <v>1898</v>
      </c>
      <c r="C4" s="1">
        <v>2010</v>
      </c>
      <c r="D4" s="1" t="s">
        <v>1904</v>
      </c>
      <c r="E4" s="1" t="s">
        <v>1905</v>
      </c>
      <c r="F4" s="1" t="s">
        <v>1906</v>
      </c>
      <c r="G4" s="1" t="s">
        <v>1810</v>
      </c>
      <c r="H4" s="1" t="s">
        <v>1855</v>
      </c>
      <c r="I4" s="2">
        <v>3</v>
      </c>
      <c r="J4" s="4">
        <f t="shared" si="0"/>
        <v>0.333333333333333</v>
      </c>
    </row>
    <row r="5" s="1" customFormat="1" spans="1:10">
      <c r="A5" s="1" t="s">
        <v>1907</v>
      </c>
      <c r="B5" s="1" t="s">
        <v>283</v>
      </c>
      <c r="C5" s="1">
        <v>2010</v>
      </c>
      <c r="D5" s="1" t="s">
        <v>1908</v>
      </c>
      <c r="E5" s="1" t="s">
        <v>1900</v>
      </c>
      <c r="F5" s="1" t="s">
        <v>1909</v>
      </c>
      <c r="G5" s="1" t="s">
        <v>1721</v>
      </c>
      <c r="H5" s="1" t="s">
        <v>1855</v>
      </c>
      <c r="I5" s="2">
        <v>3</v>
      </c>
      <c r="J5" s="4">
        <f t="shared" si="0"/>
        <v>0.333333333333333</v>
      </c>
    </row>
    <row r="6" s="1" customFormat="1" spans="1:10">
      <c r="A6" s="1" t="s">
        <v>1907</v>
      </c>
      <c r="B6" s="1" t="s">
        <v>283</v>
      </c>
      <c r="C6" s="1">
        <v>2010</v>
      </c>
      <c r="D6" s="1" t="s">
        <v>1910</v>
      </c>
      <c r="E6" s="1" t="s">
        <v>1903</v>
      </c>
      <c r="F6" s="1" t="s">
        <v>1911</v>
      </c>
      <c r="G6" s="1" t="s">
        <v>1795</v>
      </c>
      <c r="H6" s="1" t="s">
        <v>1855</v>
      </c>
      <c r="I6" s="2">
        <v>3</v>
      </c>
      <c r="J6" s="4">
        <f t="shared" si="0"/>
        <v>0.333333333333333</v>
      </c>
    </row>
    <row r="7" s="1" customFormat="1" spans="1:10">
      <c r="A7" s="1" t="s">
        <v>1907</v>
      </c>
      <c r="B7" s="1" t="s">
        <v>283</v>
      </c>
      <c r="C7" s="1">
        <v>2010</v>
      </c>
      <c r="D7" s="1" t="s">
        <v>1912</v>
      </c>
      <c r="E7" s="1" t="s">
        <v>1905</v>
      </c>
      <c r="F7" s="1" t="s">
        <v>1909</v>
      </c>
      <c r="G7" s="1" t="s">
        <v>1721</v>
      </c>
      <c r="H7" s="1" t="s">
        <v>1855</v>
      </c>
      <c r="I7" s="2">
        <v>3</v>
      </c>
      <c r="J7" s="4">
        <f t="shared" si="0"/>
        <v>0.333333333333333</v>
      </c>
    </row>
    <row r="8" s="1" customFormat="1" spans="1:10">
      <c r="A8" s="1" t="s">
        <v>1913</v>
      </c>
      <c r="B8" s="1" t="s">
        <v>701</v>
      </c>
      <c r="C8" s="1">
        <v>2010</v>
      </c>
      <c r="D8" s="1" t="s">
        <v>1914</v>
      </c>
      <c r="E8" s="1" t="s">
        <v>1900</v>
      </c>
      <c r="F8" s="1" t="s">
        <v>1707</v>
      </c>
      <c r="G8" s="1" t="s">
        <v>1707</v>
      </c>
      <c r="H8" s="1" t="s">
        <v>1859</v>
      </c>
      <c r="I8" s="2">
        <v>3</v>
      </c>
      <c r="J8" s="4">
        <f t="shared" si="0"/>
        <v>0.333333333333333</v>
      </c>
    </row>
    <row r="9" s="1" customFormat="1" spans="1:10">
      <c r="A9" s="1" t="s">
        <v>1913</v>
      </c>
      <c r="B9" s="1" t="s">
        <v>701</v>
      </c>
      <c r="C9" s="1">
        <v>2010</v>
      </c>
      <c r="D9" s="1" t="s">
        <v>1915</v>
      </c>
      <c r="E9" s="1" t="s">
        <v>1903</v>
      </c>
      <c r="F9" s="1" t="s">
        <v>1707</v>
      </c>
      <c r="G9" s="1" t="s">
        <v>1707</v>
      </c>
      <c r="H9" s="1" t="s">
        <v>1859</v>
      </c>
      <c r="I9" s="2">
        <v>3</v>
      </c>
      <c r="J9" s="4">
        <f t="shared" si="0"/>
        <v>0.333333333333333</v>
      </c>
    </row>
    <row r="10" s="1" customFormat="1" spans="1:10">
      <c r="A10" s="1" t="s">
        <v>1913</v>
      </c>
      <c r="B10" s="1" t="s">
        <v>701</v>
      </c>
      <c r="C10" s="1">
        <v>2010</v>
      </c>
      <c r="D10" s="1" t="s">
        <v>1916</v>
      </c>
      <c r="E10" s="1" t="s">
        <v>1905</v>
      </c>
      <c r="F10" s="1" t="s">
        <v>1707</v>
      </c>
      <c r="G10" s="1" t="s">
        <v>1707</v>
      </c>
      <c r="H10" s="1" t="s">
        <v>1859</v>
      </c>
      <c r="I10" s="2">
        <v>3</v>
      </c>
      <c r="J10" s="4">
        <f t="shared" si="0"/>
        <v>0.333333333333333</v>
      </c>
    </row>
    <row r="11" s="1" customFormat="1" spans="1:10">
      <c r="A11" s="1" t="s">
        <v>1917</v>
      </c>
      <c r="B11" s="1" t="s">
        <v>297</v>
      </c>
      <c r="C11" s="1">
        <v>2010</v>
      </c>
      <c r="D11" s="1" t="s">
        <v>1918</v>
      </c>
      <c r="E11" s="1" t="s">
        <v>1900</v>
      </c>
      <c r="F11" s="1" t="s">
        <v>1919</v>
      </c>
      <c r="G11" s="2" t="s">
        <v>1705</v>
      </c>
      <c r="H11" s="1" t="s">
        <v>1858</v>
      </c>
      <c r="I11" s="2">
        <v>7</v>
      </c>
      <c r="J11" s="4">
        <f t="shared" si="0"/>
        <v>0.142857142857143</v>
      </c>
    </row>
    <row r="12" s="1" customFormat="1" spans="1:10">
      <c r="A12" s="1" t="s">
        <v>1917</v>
      </c>
      <c r="B12" s="1" t="s">
        <v>297</v>
      </c>
      <c r="C12" s="1">
        <v>2010</v>
      </c>
      <c r="D12" s="1" t="s">
        <v>1920</v>
      </c>
      <c r="E12" s="1" t="s">
        <v>1903</v>
      </c>
      <c r="F12" s="1" t="s">
        <v>1919</v>
      </c>
      <c r="G12" s="2" t="s">
        <v>1705</v>
      </c>
      <c r="H12" s="1" t="s">
        <v>1858</v>
      </c>
      <c r="I12" s="2">
        <v>7</v>
      </c>
      <c r="J12" s="4">
        <f t="shared" si="0"/>
        <v>0.142857142857143</v>
      </c>
    </row>
    <row r="13" s="1" customFormat="1" spans="1:10">
      <c r="A13" s="1" t="s">
        <v>1917</v>
      </c>
      <c r="B13" s="1" t="s">
        <v>297</v>
      </c>
      <c r="C13" s="1">
        <v>2010</v>
      </c>
      <c r="D13" s="1" t="s">
        <v>1921</v>
      </c>
      <c r="E13" s="1" t="s">
        <v>1903</v>
      </c>
      <c r="F13" s="1" t="s">
        <v>1919</v>
      </c>
      <c r="G13" s="2" t="s">
        <v>1705</v>
      </c>
      <c r="H13" s="1" t="s">
        <v>1858</v>
      </c>
      <c r="I13" s="2">
        <v>7</v>
      </c>
      <c r="J13" s="4">
        <f t="shared" si="0"/>
        <v>0.142857142857143</v>
      </c>
    </row>
    <row r="14" s="1" customFormat="1" spans="1:10">
      <c r="A14" s="1" t="s">
        <v>1917</v>
      </c>
      <c r="B14" s="1" t="s">
        <v>297</v>
      </c>
      <c r="C14" s="1">
        <v>2010</v>
      </c>
      <c r="D14" s="1" t="s">
        <v>1922</v>
      </c>
      <c r="E14" s="1" t="s">
        <v>1903</v>
      </c>
      <c r="F14" s="1" t="s">
        <v>1849</v>
      </c>
      <c r="G14" s="2" t="s">
        <v>1849</v>
      </c>
      <c r="H14" s="1" t="s">
        <v>1861</v>
      </c>
      <c r="I14" s="2">
        <v>7</v>
      </c>
      <c r="J14" s="4">
        <f t="shared" si="0"/>
        <v>0.142857142857143</v>
      </c>
    </row>
    <row r="15" s="1" customFormat="1" spans="1:10">
      <c r="A15" s="1" t="s">
        <v>1917</v>
      </c>
      <c r="B15" s="1" t="s">
        <v>297</v>
      </c>
      <c r="C15" s="1">
        <v>2010</v>
      </c>
      <c r="D15" s="1" t="s">
        <v>1923</v>
      </c>
      <c r="E15" s="1" t="s">
        <v>1903</v>
      </c>
      <c r="F15" s="1" t="s">
        <v>1919</v>
      </c>
      <c r="G15" s="2" t="s">
        <v>1705</v>
      </c>
      <c r="H15" s="1" t="s">
        <v>1858</v>
      </c>
      <c r="I15" s="2">
        <v>7</v>
      </c>
      <c r="J15" s="4">
        <f t="shared" si="0"/>
        <v>0.142857142857143</v>
      </c>
    </row>
    <row r="16" s="1" customFormat="1" spans="1:10">
      <c r="A16" s="1" t="s">
        <v>1917</v>
      </c>
      <c r="B16" s="1" t="s">
        <v>297</v>
      </c>
      <c r="C16" s="1">
        <v>2010</v>
      </c>
      <c r="D16" s="1" t="s">
        <v>1924</v>
      </c>
      <c r="E16" s="1" t="s">
        <v>1903</v>
      </c>
      <c r="F16" s="1" t="s">
        <v>1919</v>
      </c>
      <c r="G16" s="2" t="s">
        <v>1705</v>
      </c>
      <c r="H16" s="1" t="s">
        <v>1858</v>
      </c>
      <c r="I16" s="2">
        <v>7</v>
      </c>
      <c r="J16" s="4">
        <f t="shared" si="0"/>
        <v>0.142857142857143</v>
      </c>
    </row>
    <row r="17" s="1" customFormat="1" spans="1:10">
      <c r="A17" s="1" t="s">
        <v>1917</v>
      </c>
      <c r="B17" s="1" t="s">
        <v>297</v>
      </c>
      <c r="C17" s="1">
        <v>2010</v>
      </c>
      <c r="D17" s="1" t="s">
        <v>1925</v>
      </c>
      <c r="E17" s="1" t="s">
        <v>1905</v>
      </c>
      <c r="F17" s="1" t="s">
        <v>1919</v>
      </c>
      <c r="G17" s="2" t="s">
        <v>1705</v>
      </c>
      <c r="H17" s="1" t="s">
        <v>1858</v>
      </c>
      <c r="I17" s="2">
        <v>7</v>
      </c>
      <c r="J17" s="4">
        <f t="shared" si="0"/>
        <v>0.142857142857143</v>
      </c>
    </row>
    <row r="18" s="1" customFormat="1" spans="1:10">
      <c r="A18" s="1" t="s">
        <v>1926</v>
      </c>
      <c r="B18" s="1" t="s">
        <v>66</v>
      </c>
      <c r="C18" s="1">
        <v>2010</v>
      </c>
      <c r="D18" s="1" t="s">
        <v>1927</v>
      </c>
      <c r="E18" s="1" t="s">
        <v>1900</v>
      </c>
      <c r="F18" s="1" t="s">
        <v>1706</v>
      </c>
      <c r="G18" s="1" t="s">
        <v>1706</v>
      </c>
      <c r="H18" s="1" t="s">
        <v>1854</v>
      </c>
      <c r="I18" s="2">
        <v>7</v>
      </c>
      <c r="J18" s="4">
        <f t="shared" si="0"/>
        <v>0.142857142857143</v>
      </c>
    </row>
    <row r="19" s="1" customFormat="1" spans="1:10">
      <c r="A19" s="1" t="s">
        <v>1926</v>
      </c>
      <c r="B19" s="1" t="s">
        <v>66</v>
      </c>
      <c r="C19" s="1">
        <v>2010</v>
      </c>
      <c r="D19" s="1" t="s">
        <v>1928</v>
      </c>
      <c r="E19" s="1" t="s">
        <v>1903</v>
      </c>
      <c r="F19" s="1" t="s">
        <v>1706</v>
      </c>
      <c r="G19" s="1" t="s">
        <v>1706</v>
      </c>
      <c r="H19" s="1" t="s">
        <v>1854</v>
      </c>
      <c r="I19" s="2">
        <v>7</v>
      </c>
      <c r="J19" s="4">
        <f t="shared" si="0"/>
        <v>0.142857142857143</v>
      </c>
    </row>
    <row r="20" s="1" customFormat="1" spans="1:10">
      <c r="A20" s="1" t="s">
        <v>1926</v>
      </c>
      <c r="B20" s="1" t="s">
        <v>66</v>
      </c>
      <c r="C20" s="1">
        <v>2010</v>
      </c>
      <c r="D20" s="1" t="s">
        <v>1929</v>
      </c>
      <c r="E20" s="1" t="s">
        <v>1903</v>
      </c>
      <c r="F20" s="1" t="s">
        <v>1706</v>
      </c>
      <c r="G20" s="1" t="s">
        <v>1706</v>
      </c>
      <c r="H20" s="1" t="s">
        <v>1854</v>
      </c>
      <c r="I20" s="2">
        <v>7</v>
      </c>
      <c r="J20" s="4">
        <f t="shared" si="0"/>
        <v>0.142857142857143</v>
      </c>
    </row>
    <row r="21" s="1" customFormat="1" spans="1:10">
      <c r="A21" s="1" t="s">
        <v>1926</v>
      </c>
      <c r="B21" s="1" t="s">
        <v>66</v>
      </c>
      <c r="C21" s="1">
        <v>2010</v>
      </c>
      <c r="D21" s="1" t="s">
        <v>1930</v>
      </c>
      <c r="E21" s="1" t="s">
        <v>1903</v>
      </c>
      <c r="F21" s="1" t="s">
        <v>1706</v>
      </c>
      <c r="G21" s="1" t="s">
        <v>1706</v>
      </c>
      <c r="H21" s="1" t="s">
        <v>1854</v>
      </c>
      <c r="I21" s="2">
        <v>7</v>
      </c>
      <c r="J21" s="4">
        <f t="shared" si="0"/>
        <v>0.142857142857143</v>
      </c>
    </row>
    <row r="22" s="1" customFormat="1" spans="1:10">
      <c r="A22" s="1" t="s">
        <v>1926</v>
      </c>
      <c r="B22" s="1" t="s">
        <v>66</v>
      </c>
      <c r="C22" s="1">
        <v>2010</v>
      </c>
      <c r="D22" s="1" t="s">
        <v>1931</v>
      </c>
      <c r="E22" s="1" t="s">
        <v>1903</v>
      </c>
      <c r="F22" s="1" t="s">
        <v>1706</v>
      </c>
      <c r="G22" s="1" t="s">
        <v>1706</v>
      </c>
      <c r="H22" s="1" t="s">
        <v>1854</v>
      </c>
      <c r="I22" s="2">
        <v>7</v>
      </c>
      <c r="J22" s="4">
        <f t="shared" si="0"/>
        <v>0.142857142857143</v>
      </c>
    </row>
    <row r="23" s="1" customFormat="1" spans="1:10">
      <c r="A23" s="1" t="s">
        <v>1926</v>
      </c>
      <c r="B23" s="1" t="s">
        <v>66</v>
      </c>
      <c r="C23" s="1">
        <v>2010</v>
      </c>
      <c r="D23" s="1" t="s">
        <v>1932</v>
      </c>
      <c r="E23" s="1" t="s">
        <v>1903</v>
      </c>
      <c r="F23" s="1" t="s">
        <v>1706</v>
      </c>
      <c r="G23" s="1" t="s">
        <v>1706</v>
      </c>
      <c r="H23" s="1" t="s">
        <v>1854</v>
      </c>
      <c r="I23" s="2">
        <v>7</v>
      </c>
      <c r="J23" s="4">
        <f t="shared" si="0"/>
        <v>0.142857142857143</v>
      </c>
    </row>
    <row r="24" s="1" customFormat="1" spans="1:10">
      <c r="A24" s="1" t="s">
        <v>1926</v>
      </c>
      <c r="B24" s="1" t="s">
        <v>66</v>
      </c>
      <c r="C24" s="1">
        <v>2010</v>
      </c>
      <c r="D24" s="1" t="s">
        <v>1933</v>
      </c>
      <c r="E24" s="1" t="s">
        <v>1905</v>
      </c>
      <c r="F24" s="1" t="s">
        <v>1848</v>
      </c>
      <c r="G24" s="1" t="s">
        <v>1848</v>
      </c>
      <c r="H24" s="1" t="s">
        <v>1857</v>
      </c>
      <c r="I24" s="2">
        <v>7</v>
      </c>
      <c r="J24" s="4">
        <f t="shared" si="0"/>
        <v>0.142857142857143</v>
      </c>
    </row>
    <row r="25" s="1" customFormat="1" spans="1:10">
      <c r="A25" s="1" t="s">
        <v>1934</v>
      </c>
      <c r="B25" s="1" t="s">
        <v>80</v>
      </c>
      <c r="C25" s="1">
        <v>2010</v>
      </c>
      <c r="D25" s="1" t="s">
        <v>1935</v>
      </c>
      <c r="E25" s="1" t="s">
        <v>1900</v>
      </c>
      <c r="F25" s="1" t="s">
        <v>1710</v>
      </c>
      <c r="G25" s="1" t="s">
        <v>1710</v>
      </c>
      <c r="H25" s="1" t="s">
        <v>1868</v>
      </c>
      <c r="I25" s="2">
        <v>1</v>
      </c>
      <c r="J25" s="4">
        <f t="shared" si="0"/>
        <v>1</v>
      </c>
    </row>
    <row r="26" s="1" customFormat="1" spans="1:10">
      <c r="A26" s="1" t="s">
        <v>1936</v>
      </c>
      <c r="B26" s="1" t="s">
        <v>124</v>
      </c>
      <c r="C26" s="1">
        <v>2010</v>
      </c>
      <c r="D26" s="1" t="s">
        <v>1937</v>
      </c>
      <c r="E26" s="1" t="s">
        <v>1900</v>
      </c>
      <c r="F26" s="1" t="s">
        <v>1813</v>
      </c>
      <c r="G26" s="1" t="s">
        <v>1813</v>
      </c>
      <c r="H26" s="1" t="s">
        <v>1867</v>
      </c>
      <c r="I26" s="2">
        <v>3</v>
      </c>
      <c r="J26" s="4">
        <f t="shared" si="0"/>
        <v>0.333333333333333</v>
      </c>
    </row>
    <row r="27" s="1" customFormat="1" spans="1:10">
      <c r="A27" s="1" t="s">
        <v>1936</v>
      </c>
      <c r="B27" s="1" t="s">
        <v>124</v>
      </c>
      <c r="C27" s="1">
        <v>2010</v>
      </c>
      <c r="D27" s="1" t="s">
        <v>1938</v>
      </c>
      <c r="E27" s="1" t="s">
        <v>1903</v>
      </c>
      <c r="F27" s="1" t="s">
        <v>1771</v>
      </c>
      <c r="G27" s="1" t="s">
        <v>1771</v>
      </c>
      <c r="H27" s="1" t="s">
        <v>1867</v>
      </c>
      <c r="I27" s="2">
        <v>3</v>
      </c>
      <c r="J27" s="4">
        <f t="shared" si="0"/>
        <v>0.333333333333333</v>
      </c>
    </row>
    <row r="28" s="1" customFormat="1" spans="1:10">
      <c r="A28" s="1" t="s">
        <v>1936</v>
      </c>
      <c r="B28" s="1" t="s">
        <v>124</v>
      </c>
      <c r="C28" s="1">
        <v>2010</v>
      </c>
      <c r="D28" s="1" t="s">
        <v>1939</v>
      </c>
      <c r="E28" s="1" t="s">
        <v>1905</v>
      </c>
      <c r="F28" s="1" t="s">
        <v>1771</v>
      </c>
      <c r="G28" s="1" t="s">
        <v>1771</v>
      </c>
      <c r="H28" s="1" t="s">
        <v>1867</v>
      </c>
      <c r="I28" s="2">
        <v>3</v>
      </c>
      <c r="J28" s="4">
        <f t="shared" si="0"/>
        <v>0.333333333333333</v>
      </c>
    </row>
    <row r="29" s="1" customFormat="1" spans="1:10">
      <c r="A29" s="1" t="s">
        <v>1940</v>
      </c>
      <c r="B29" s="1" t="s">
        <v>638</v>
      </c>
      <c r="C29" s="1">
        <v>2010</v>
      </c>
      <c r="D29" s="1" t="s">
        <v>1941</v>
      </c>
      <c r="E29" s="1" t="s">
        <v>1900</v>
      </c>
      <c r="F29" s="1" t="s">
        <v>1718</v>
      </c>
      <c r="G29" s="1" t="s">
        <v>1718</v>
      </c>
      <c r="H29" s="1" t="s">
        <v>1872</v>
      </c>
      <c r="I29" s="2">
        <v>4</v>
      </c>
      <c r="J29" s="4">
        <f t="shared" si="0"/>
        <v>0.25</v>
      </c>
    </row>
    <row r="30" s="1" customFormat="1" spans="1:10">
      <c r="A30" s="1" t="s">
        <v>1940</v>
      </c>
      <c r="B30" s="1" t="s">
        <v>638</v>
      </c>
      <c r="C30" s="1">
        <v>2010</v>
      </c>
      <c r="D30" s="1" t="s">
        <v>1942</v>
      </c>
      <c r="E30" s="1" t="s">
        <v>1903</v>
      </c>
      <c r="F30" s="1" t="s">
        <v>1718</v>
      </c>
      <c r="G30" s="1" t="s">
        <v>1718</v>
      </c>
      <c r="H30" s="1" t="s">
        <v>1872</v>
      </c>
      <c r="I30" s="2">
        <v>4</v>
      </c>
      <c r="J30" s="4">
        <f t="shared" si="0"/>
        <v>0.25</v>
      </c>
    </row>
    <row r="31" s="1" customFormat="1" spans="1:10">
      <c r="A31" s="1" t="s">
        <v>1940</v>
      </c>
      <c r="B31" s="1" t="s">
        <v>638</v>
      </c>
      <c r="C31" s="1">
        <v>2010</v>
      </c>
      <c r="D31" s="1" t="s">
        <v>1943</v>
      </c>
      <c r="E31" s="1" t="s">
        <v>1903</v>
      </c>
      <c r="F31" s="1" t="s">
        <v>1718</v>
      </c>
      <c r="G31" s="1" t="s">
        <v>1718</v>
      </c>
      <c r="H31" s="1" t="s">
        <v>1872</v>
      </c>
      <c r="I31" s="2">
        <v>4</v>
      </c>
      <c r="J31" s="4">
        <f t="shared" si="0"/>
        <v>0.25</v>
      </c>
    </row>
    <row r="32" s="1" customFormat="1" spans="1:10">
      <c r="A32" s="1" t="s">
        <v>1940</v>
      </c>
      <c r="B32" s="1" t="s">
        <v>638</v>
      </c>
      <c r="C32" s="1">
        <v>2010</v>
      </c>
      <c r="D32" s="1" t="s">
        <v>1944</v>
      </c>
      <c r="E32" s="1" t="s">
        <v>1905</v>
      </c>
      <c r="F32" s="1" t="s">
        <v>1718</v>
      </c>
      <c r="G32" s="1" t="s">
        <v>1718</v>
      </c>
      <c r="H32" s="1" t="s">
        <v>1872</v>
      </c>
      <c r="I32" s="2">
        <v>4</v>
      </c>
      <c r="J32" s="4">
        <f t="shared" si="0"/>
        <v>0.25</v>
      </c>
    </row>
    <row r="33" s="1" customFormat="1" spans="1:10">
      <c r="A33" s="1" t="s">
        <v>1945</v>
      </c>
      <c r="B33" s="1" t="s">
        <v>314</v>
      </c>
      <c r="C33" s="1">
        <v>2010</v>
      </c>
      <c r="D33" s="1" t="s">
        <v>1946</v>
      </c>
      <c r="E33" s="1" t="s">
        <v>1900</v>
      </c>
      <c r="F33" s="1" t="s">
        <v>1725</v>
      </c>
      <c r="G33" s="1" t="s">
        <v>1725</v>
      </c>
      <c r="H33" s="1" t="s">
        <v>1856</v>
      </c>
      <c r="I33" s="2">
        <v>2</v>
      </c>
      <c r="J33" s="4">
        <f t="shared" si="0"/>
        <v>0.5</v>
      </c>
    </row>
    <row r="34" s="1" customFormat="1" spans="1:10">
      <c r="A34" s="1" t="s">
        <v>1945</v>
      </c>
      <c r="B34" s="1" t="s">
        <v>314</v>
      </c>
      <c r="C34" s="1">
        <v>2010</v>
      </c>
      <c r="D34" s="1" t="s">
        <v>1947</v>
      </c>
      <c r="E34" s="1" t="s">
        <v>1905</v>
      </c>
      <c r="F34" s="1" t="s">
        <v>1725</v>
      </c>
      <c r="G34" s="1" t="s">
        <v>1725</v>
      </c>
      <c r="H34" s="1" t="s">
        <v>1856</v>
      </c>
      <c r="I34" s="2">
        <v>2</v>
      </c>
      <c r="J34" s="4">
        <f t="shared" si="0"/>
        <v>0.5</v>
      </c>
    </row>
    <row r="35" s="1" customFormat="1" spans="1:10">
      <c r="A35" s="1" t="s">
        <v>1948</v>
      </c>
      <c r="B35" s="1" t="s">
        <v>91</v>
      </c>
      <c r="C35" s="1">
        <v>2010</v>
      </c>
      <c r="D35" s="1" t="s">
        <v>1949</v>
      </c>
      <c r="E35" s="1" t="s">
        <v>1900</v>
      </c>
      <c r="F35" s="1" t="s">
        <v>1705</v>
      </c>
      <c r="G35" s="1" t="s">
        <v>1705</v>
      </c>
      <c r="H35" s="1" t="s">
        <v>1858</v>
      </c>
      <c r="I35" s="2">
        <v>4</v>
      </c>
      <c r="J35" s="4">
        <f t="shared" si="0"/>
        <v>0.25</v>
      </c>
    </row>
    <row r="36" s="1" customFormat="1" spans="1:10">
      <c r="A36" s="1" t="s">
        <v>1948</v>
      </c>
      <c r="B36" s="1" t="s">
        <v>91</v>
      </c>
      <c r="C36" s="1">
        <v>2010</v>
      </c>
      <c r="D36" s="1" t="s">
        <v>1924</v>
      </c>
      <c r="E36" s="1" t="s">
        <v>1903</v>
      </c>
      <c r="F36" s="1" t="s">
        <v>1705</v>
      </c>
      <c r="G36" s="1" t="s">
        <v>1705</v>
      </c>
      <c r="H36" s="1" t="s">
        <v>1858</v>
      </c>
      <c r="I36" s="2">
        <v>4</v>
      </c>
      <c r="J36" s="4">
        <f t="shared" si="0"/>
        <v>0.25</v>
      </c>
    </row>
    <row r="37" s="1" customFormat="1" spans="1:10">
      <c r="A37" s="1" t="s">
        <v>1948</v>
      </c>
      <c r="B37" s="1" t="s">
        <v>91</v>
      </c>
      <c r="C37" s="1">
        <v>2010</v>
      </c>
      <c r="D37" s="1" t="s">
        <v>1925</v>
      </c>
      <c r="E37" s="1" t="s">
        <v>1903</v>
      </c>
      <c r="F37" s="1" t="s">
        <v>1705</v>
      </c>
      <c r="G37" s="1" t="s">
        <v>1705</v>
      </c>
      <c r="H37" s="1" t="s">
        <v>1858</v>
      </c>
      <c r="I37" s="2">
        <v>4</v>
      </c>
      <c r="J37" s="4">
        <f t="shared" si="0"/>
        <v>0.25</v>
      </c>
    </row>
    <row r="38" s="1" customFormat="1" spans="1:10">
      <c r="A38" s="1" t="s">
        <v>1948</v>
      </c>
      <c r="B38" s="1" t="s">
        <v>91</v>
      </c>
      <c r="C38" s="1">
        <v>2010</v>
      </c>
      <c r="D38" s="1" t="s">
        <v>1950</v>
      </c>
      <c r="E38" s="1" t="s">
        <v>1905</v>
      </c>
      <c r="F38" s="1" t="s">
        <v>1705</v>
      </c>
      <c r="G38" s="1" t="s">
        <v>1705</v>
      </c>
      <c r="H38" s="1" t="s">
        <v>1858</v>
      </c>
      <c r="I38" s="2">
        <v>4</v>
      </c>
      <c r="J38" s="4">
        <f t="shared" si="0"/>
        <v>0.25</v>
      </c>
    </row>
    <row r="39" s="1" customFormat="1" spans="1:10">
      <c r="A39" s="1" t="s">
        <v>1951</v>
      </c>
      <c r="B39" s="1" t="s">
        <v>566</v>
      </c>
      <c r="C39" s="1">
        <v>2010</v>
      </c>
      <c r="D39" s="1" t="s">
        <v>1952</v>
      </c>
      <c r="E39" s="1" t="s">
        <v>1900</v>
      </c>
      <c r="F39" s="1" t="s">
        <v>1953</v>
      </c>
      <c r="G39" s="1" t="s">
        <v>1749</v>
      </c>
      <c r="H39" s="1" t="s">
        <v>1853</v>
      </c>
      <c r="I39" s="2">
        <v>7</v>
      </c>
      <c r="J39" s="4">
        <f t="shared" si="0"/>
        <v>0.142857142857143</v>
      </c>
    </row>
    <row r="40" s="1" customFormat="1" spans="1:10">
      <c r="A40" s="1" t="s">
        <v>1951</v>
      </c>
      <c r="B40" s="1" t="s">
        <v>566</v>
      </c>
      <c r="C40" s="1">
        <v>2010</v>
      </c>
      <c r="D40" s="1" t="s">
        <v>1954</v>
      </c>
      <c r="E40" s="1" t="s">
        <v>1903</v>
      </c>
      <c r="F40" s="1" t="s">
        <v>1953</v>
      </c>
      <c r="G40" s="1" t="s">
        <v>1749</v>
      </c>
      <c r="H40" s="1" t="s">
        <v>1853</v>
      </c>
      <c r="I40" s="2">
        <v>7</v>
      </c>
      <c r="J40" s="4">
        <f t="shared" si="0"/>
        <v>0.142857142857143</v>
      </c>
    </row>
    <row r="41" s="1" customFormat="1" spans="1:10">
      <c r="A41" s="1" t="s">
        <v>1951</v>
      </c>
      <c r="B41" s="1" t="s">
        <v>566</v>
      </c>
      <c r="C41" s="1">
        <v>2010</v>
      </c>
      <c r="D41" s="1" t="s">
        <v>1955</v>
      </c>
      <c r="E41" s="1" t="s">
        <v>1903</v>
      </c>
      <c r="F41" s="1" t="s">
        <v>1953</v>
      </c>
      <c r="G41" s="1" t="s">
        <v>1749</v>
      </c>
      <c r="H41" s="1" t="s">
        <v>1853</v>
      </c>
      <c r="I41" s="2">
        <v>7</v>
      </c>
      <c r="J41" s="4">
        <f t="shared" si="0"/>
        <v>0.142857142857143</v>
      </c>
    </row>
    <row r="42" s="1" customFormat="1" spans="1:10">
      <c r="A42" s="1" t="s">
        <v>1951</v>
      </c>
      <c r="B42" s="1" t="s">
        <v>566</v>
      </c>
      <c r="C42" s="1">
        <v>2010</v>
      </c>
      <c r="D42" s="1" t="s">
        <v>1956</v>
      </c>
      <c r="E42" s="1" t="s">
        <v>1903</v>
      </c>
      <c r="F42" s="1" t="s">
        <v>1957</v>
      </c>
      <c r="G42" s="1" t="s">
        <v>1816</v>
      </c>
      <c r="H42" s="1" t="s">
        <v>1853</v>
      </c>
      <c r="I42" s="2">
        <v>7</v>
      </c>
      <c r="J42" s="4">
        <f t="shared" si="0"/>
        <v>0.142857142857143</v>
      </c>
    </row>
    <row r="43" s="1" customFormat="1" spans="1:10">
      <c r="A43" s="1" t="s">
        <v>1951</v>
      </c>
      <c r="B43" s="1" t="s">
        <v>566</v>
      </c>
      <c r="C43" s="1">
        <v>2010</v>
      </c>
      <c r="D43" s="1" t="s">
        <v>1958</v>
      </c>
      <c r="E43" s="1" t="s">
        <v>1903</v>
      </c>
      <c r="F43" s="1" t="s">
        <v>1953</v>
      </c>
      <c r="G43" s="1" t="s">
        <v>1749</v>
      </c>
      <c r="H43" s="1" t="s">
        <v>1853</v>
      </c>
      <c r="I43" s="2">
        <v>7</v>
      </c>
      <c r="J43" s="4">
        <f t="shared" si="0"/>
        <v>0.142857142857143</v>
      </c>
    </row>
    <row r="44" s="1" customFormat="1" spans="1:10">
      <c r="A44" s="1" t="s">
        <v>1951</v>
      </c>
      <c r="B44" s="1" t="s">
        <v>566</v>
      </c>
      <c r="C44" s="1">
        <v>2010</v>
      </c>
      <c r="D44" s="1" t="s">
        <v>1959</v>
      </c>
      <c r="E44" s="1" t="s">
        <v>1903</v>
      </c>
      <c r="F44" s="1" t="s">
        <v>1953</v>
      </c>
      <c r="G44" s="1" t="s">
        <v>1749</v>
      </c>
      <c r="H44" s="1" t="s">
        <v>1853</v>
      </c>
      <c r="I44" s="2">
        <v>7</v>
      </c>
      <c r="J44" s="4">
        <f t="shared" si="0"/>
        <v>0.142857142857143</v>
      </c>
    </row>
    <row r="45" s="1" customFormat="1" spans="1:10">
      <c r="A45" s="1" t="s">
        <v>1951</v>
      </c>
      <c r="B45" s="1" t="s">
        <v>566</v>
      </c>
      <c r="C45" s="1">
        <v>2010</v>
      </c>
      <c r="D45" s="1" t="s">
        <v>1960</v>
      </c>
      <c r="E45" s="1" t="s">
        <v>1905</v>
      </c>
      <c r="F45" s="1" t="s">
        <v>1957</v>
      </c>
      <c r="G45" s="1" t="s">
        <v>1816</v>
      </c>
      <c r="H45" s="1" t="s">
        <v>1853</v>
      </c>
      <c r="I45" s="2">
        <v>7</v>
      </c>
      <c r="J45" s="4">
        <f t="shared" si="0"/>
        <v>0.142857142857143</v>
      </c>
    </row>
    <row r="46" s="1" customFormat="1" spans="1:10">
      <c r="A46" s="1" t="s">
        <v>1961</v>
      </c>
      <c r="B46" s="1" t="s">
        <v>801</v>
      </c>
      <c r="C46" s="1">
        <v>2010</v>
      </c>
      <c r="D46" s="1" t="s">
        <v>1962</v>
      </c>
      <c r="E46" s="1" t="s">
        <v>1900</v>
      </c>
      <c r="F46" s="1" t="s">
        <v>1747</v>
      </c>
      <c r="G46" s="1" t="s">
        <v>1747</v>
      </c>
      <c r="H46" s="1" t="s">
        <v>1854</v>
      </c>
      <c r="I46" s="2">
        <v>3</v>
      </c>
      <c r="J46" s="4">
        <f t="shared" si="0"/>
        <v>0.333333333333333</v>
      </c>
    </row>
    <row r="47" s="1" customFormat="1" spans="1:10">
      <c r="A47" s="1" t="s">
        <v>1961</v>
      </c>
      <c r="B47" s="1" t="s">
        <v>801</v>
      </c>
      <c r="C47" s="1">
        <v>2010</v>
      </c>
      <c r="D47" s="1" t="s">
        <v>1963</v>
      </c>
      <c r="E47" s="1" t="s">
        <v>1903</v>
      </c>
      <c r="F47" s="1" t="s">
        <v>1747</v>
      </c>
      <c r="G47" s="1" t="s">
        <v>1747</v>
      </c>
      <c r="H47" s="1" t="s">
        <v>1854</v>
      </c>
      <c r="I47" s="2">
        <v>3</v>
      </c>
      <c r="J47" s="4">
        <f t="shared" si="0"/>
        <v>0.333333333333333</v>
      </c>
    </row>
    <row r="48" s="1" customFormat="1" spans="1:10">
      <c r="A48" s="1" t="s">
        <v>1961</v>
      </c>
      <c r="B48" s="1" t="s">
        <v>801</v>
      </c>
      <c r="C48" s="1">
        <v>2010</v>
      </c>
      <c r="D48" s="1" t="s">
        <v>1964</v>
      </c>
      <c r="E48" s="1" t="s">
        <v>1905</v>
      </c>
      <c r="F48" s="1" t="s">
        <v>1747</v>
      </c>
      <c r="G48" s="1" t="s">
        <v>1747</v>
      </c>
      <c r="H48" s="1" t="s">
        <v>1854</v>
      </c>
      <c r="I48" s="2">
        <v>3</v>
      </c>
      <c r="J48" s="4">
        <f t="shared" si="0"/>
        <v>0.333333333333333</v>
      </c>
    </row>
    <row r="49" s="1" customFormat="1" spans="1:10">
      <c r="A49" s="1" t="s">
        <v>1965</v>
      </c>
      <c r="B49" s="1" t="s">
        <v>709</v>
      </c>
      <c r="C49" s="1">
        <v>2010</v>
      </c>
      <c r="D49" s="1" t="s">
        <v>1966</v>
      </c>
      <c r="E49" s="1" t="s">
        <v>1900</v>
      </c>
      <c r="F49" s="1" t="s">
        <v>1754</v>
      </c>
      <c r="G49" s="1" t="s">
        <v>1754</v>
      </c>
      <c r="H49" s="1" t="s">
        <v>1869</v>
      </c>
      <c r="I49" s="2">
        <v>4</v>
      </c>
      <c r="J49" s="4">
        <f t="shared" si="0"/>
        <v>0.25</v>
      </c>
    </row>
    <row r="50" s="1" customFormat="1" spans="1:10">
      <c r="A50" s="1" t="s">
        <v>1965</v>
      </c>
      <c r="B50" s="1" t="s">
        <v>709</v>
      </c>
      <c r="C50" s="1">
        <v>2010</v>
      </c>
      <c r="D50" s="1" t="s">
        <v>1967</v>
      </c>
      <c r="E50" s="1" t="s">
        <v>1903</v>
      </c>
      <c r="F50" s="1" t="s">
        <v>1754</v>
      </c>
      <c r="G50" s="1" t="s">
        <v>1754</v>
      </c>
      <c r="H50" s="1" t="s">
        <v>1869</v>
      </c>
      <c r="I50" s="2">
        <v>4</v>
      </c>
      <c r="J50" s="4">
        <f t="shared" si="0"/>
        <v>0.25</v>
      </c>
    </row>
    <row r="51" s="1" customFormat="1" spans="1:10">
      <c r="A51" s="1" t="s">
        <v>1965</v>
      </c>
      <c r="B51" s="1" t="s">
        <v>709</v>
      </c>
      <c r="C51" s="1">
        <v>2010</v>
      </c>
      <c r="D51" s="1" t="s">
        <v>1924</v>
      </c>
      <c r="E51" s="1" t="s">
        <v>1903</v>
      </c>
      <c r="F51" s="1" t="s">
        <v>1705</v>
      </c>
      <c r="G51" s="1" t="s">
        <v>1705</v>
      </c>
      <c r="H51" s="1" t="s">
        <v>1858</v>
      </c>
      <c r="I51" s="2">
        <v>4</v>
      </c>
      <c r="J51" s="4">
        <f t="shared" si="0"/>
        <v>0.25</v>
      </c>
    </row>
    <row r="52" s="1" customFormat="1" spans="1:10">
      <c r="A52" s="1" t="s">
        <v>1965</v>
      </c>
      <c r="B52" s="1" t="s">
        <v>709</v>
      </c>
      <c r="C52" s="1">
        <v>2010</v>
      </c>
      <c r="D52" s="1" t="s">
        <v>1921</v>
      </c>
      <c r="E52" s="1" t="s">
        <v>1905</v>
      </c>
      <c r="F52" s="1" t="s">
        <v>1705</v>
      </c>
      <c r="G52" s="1" t="s">
        <v>1705</v>
      </c>
      <c r="H52" s="1" t="s">
        <v>1858</v>
      </c>
      <c r="I52" s="2">
        <v>4</v>
      </c>
      <c r="J52" s="4">
        <f t="shared" si="0"/>
        <v>0.25</v>
      </c>
    </row>
    <row r="53" s="1" customFormat="1" spans="1:10">
      <c r="A53" s="1" t="s">
        <v>1968</v>
      </c>
      <c r="B53" s="1" t="s">
        <v>1969</v>
      </c>
      <c r="C53" s="1">
        <v>2011</v>
      </c>
      <c r="D53" s="1" t="s">
        <v>1970</v>
      </c>
      <c r="E53" s="1" t="s">
        <v>1900</v>
      </c>
      <c r="F53" s="1" t="s">
        <v>1706</v>
      </c>
      <c r="G53" s="1" t="s">
        <v>1706</v>
      </c>
      <c r="H53" s="1" t="s">
        <v>1854</v>
      </c>
      <c r="I53" s="2">
        <v>4</v>
      </c>
      <c r="J53" s="4">
        <f t="shared" si="0"/>
        <v>0.25</v>
      </c>
    </row>
    <row r="54" s="1" customFormat="1" spans="1:10">
      <c r="A54" s="1" t="s">
        <v>1968</v>
      </c>
      <c r="B54" s="1" t="s">
        <v>1969</v>
      </c>
      <c r="C54" s="1">
        <v>2011</v>
      </c>
      <c r="D54" s="1" t="s">
        <v>1971</v>
      </c>
      <c r="E54" s="1" t="s">
        <v>1903</v>
      </c>
      <c r="F54" s="1" t="s">
        <v>1706</v>
      </c>
      <c r="G54" s="1" t="s">
        <v>1706</v>
      </c>
      <c r="H54" s="1" t="s">
        <v>1854</v>
      </c>
      <c r="I54" s="2">
        <v>4</v>
      </c>
      <c r="J54" s="4">
        <f t="shared" si="0"/>
        <v>0.25</v>
      </c>
    </row>
    <row r="55" s="1" customFormat="1" spans="1:10">
      <c r="A55" s="1" t="s">
        <v>1968</v>
      </c>
      <c r="B55" s="1" t="s">
        <v>1969</v>
      </c>
      <c r="C55" s="1">
        <v>2011</v>
      </c>
      <c r="D55" s="1" t="s">
        <v>1927</v>
      </c>
      <c r="E55" s="1" t="s">
        <v>1903</v>
      </c>
      <c r="F55" s="1" t="s">
        <v>1706</v>
      </c>
      <c r="G55" s="1" t="s">
        <v>1706</v>
      </c>
      <c r="H55" s="1" t="s">
        <v>1854</v>
      </c>
      <c r="I55" s="2">
        <v>4</v>
      </c>
      <c r="J55" s="4">
        <f t="shared" si="0"/>
        <v>0.25</v>
      </c>
    </row>
    <row r="56" s="1" customFormat="1" spans="1:10">
      <c r="A56" s="1" t="s">
        <v>1968</v>
      </c>
      <c r="B56" s="1" t="s">
        <v>1969</v>
      </c>
      <c r="C56" s="1">
        <v>2011</v>
      </c>
      <c r="D56" s="1" t="s">
        <v>1928</v>
      </c>
      <c r="E56" s="1" t="s">
        <v>1905</v>
      </c>
      <c r="F56" s="1" t="s">
        <v>1706</v>
      </c>
      <c r="G56" s="1" t="s">
        <v>1706</v>
      </c>
      <c r="H56" s="1" t="s">
        <v>1854</v>
      </c>
      <c r="I56" s="2">
        <v>4</v>
      </c>
      <c r="J56" s="4">
        <f t="shared" si="0"/>
        <v>0.25</v>
      </c>
    </row>
    <row r="57" s="1" customFormat="1" spans="1:10">
      <c r="A57" s="1" t="s">
        <v>1972</v>
      </c>
      <c r="B57" s="1" t="s">
        <v>586</v>
      </c>
      <c r="C57" s="1">
        <v>2011</v>
      </c>
      <c r="D57" s="1" t="s">
        <v>1973</v>
      </c>
      <c r="E57" s="1" t="s">
        <v>1900</v>
      </c>
      <c r="F57" s="1" t="s">
        <v>1740</v>
      </c>
      <c r="G57" s="1" t="s">
        <v>1740</v>
      </c>
      <c r="H57" s="1" t="s">
        <v>1862</v>
      </c>
      <c r="I57" s="2">
        <v>2</v>
      </c>
      <c r="J57" s="4">
        <f t="shared" si="0"/>
        <v>0.5</v>
      </c>
    </row>
    <row r="58" s="1" customFormat="1" spans="1:10">
      <c r="A58" s="1" t="s">
        <v>1972</v>
      </c>
      <c r="B58" s="1" t="s">
        <v>586</v>
      </c>
      <c r="C58" s="1">
        <v>2011</v>
      </c>
      <c r="D58" s="1" t="s">
        <v>1974</v>
      </c>
      <c r="E58" s="1" t="s">
        <v>1905</v>
      </c>
      <c r="F58" s="1" t="s">
        <v>1740</v>
      </c>
      <c r="G58" s="1" t="s">
        <v>1740</v>
      </c>
      <c r="H58" s="1" t="s">
        <v>1862</v>
      </c>
      <c r="I58" s="2">
        <v>2</v>
      </c>
      <c r="J58" s="4">
        <f t="shared" si="0"/>
        <v>0.5</v>
      </c>
    </row>
    <row r="59" s="1" customFormat="1" spans="1:10">
      <c r="A59" s="1" t="s">
        <v>1975</v>
      </c>
      <c r="B59" s="1" t="s">
        <v>320</v>
      </c>
      <c r="C59" s="1">
        <v>2010</v>
      </c>
      <c r="D59" s="1" t="s">
        <v>1976</v>
      </c>
      <c r="E59" s="1" t="s">
        <v>1900</v>
      </c>
      <c r="F59" s="1" t="s">
        <v>1809</v>
      </c>
      <c r="G59" s="1" t="s">
        <v>1809</v>
      </c>
      <c r="H59" s="1" t="s">
        <v>1861</v>
      </c>
      <c r="I59" s="2">
        <v>3</v>
      </c>
      <c r="J59" s="4">
        <f t="shared" si="0"/>
        <v>0.333333333333333</v>
      </c>
    </row>
    <row r="60" s="1" customFormat="1" spans="1:10">
      <c r="A60" s="1" t="s">
        <v>1975</v>
      </c>
      <c r="B60" s="1" t="s">
        <v>320</v>
      </c>
      <c r="C60" s="1">
        <v>2010</v>
      </c>
      <c r="D60" s="1" t="s">
        <v>1977</v>
      </c>
      <c r="E60" s="1" t="s">
        <v>1903</v>
      </c>
      <c r="F60" s="1" t="s">
        <v>1772</v>
      </c>
      <c r="G60" s="1" t="s">
        <v>1772</v>
      </c>
      <c r="H60" s="1" t="s">
        <v>1865</v>
      </c>
      <c r="I60" s="2">
        <v>3</v>
      </c>
      <c r="J60" s="4">
        <f t="shared" si="0"/>
        <v>0.333333333333333</v>
      </c>
    </row>
    <row r="61" s="1" customFormat="1" spans="1:10">
      <c r="A61" s="1" t="s">
        <v>1975</v>
      </c>
      <c r="B61" s="1" t="s">
        <v>320</v>
      </c>
      <c r="C61" s="1">
        <v>2010</v>
      </c>
      <c r="D61" s="1" t="s">
        <v>1978</v>
      </c>
      <c r="E61" s="1" t="s">
        <v>1905</v>
      </c>
      <c r="F61" s="1" t="s">
        <v>1772</v>
      </c>
      <c r="G61" s="1" t="s">
        <v>1772</v>
      </c>
      <c r="H61" s="1" t="s">
        <v>1865</v>
      </c>
      <c r="I61" s="2">
        <v>3</v>
      </c>
      <c r="J61" s="4">
        <f t="shared" si="0"/>
        <v>0.333333333333333</v>
      </c>
    </row>
    <row r="62" s="1" customFormat="1" spans="1:10">
      <c r="A62" s="1" t="s">
        <v>1979</v>
      </c>
      <c r="B62" s="1" t="s">
        <v>109</v>
      </c>
      <c r="C62" s="1">
        <v>2011</v>
      </c>
      <c r="D62" s="1" t="s">
        <v>1980</v>
      </c>
      <c r="E62" s="1" t="s">
        <v>1900</v>
      </c>
      <c r="F62" s="1" t="s">
        <v>1708</v>
      </c>
      <c r="G62" s="1" t="s">
        <v>1708</v>
      </c>
      <c r="H62" s="1" t="s">
        <v>1860</v>
      </c>
      <c r="I62" s="2">
        <v>3</v>
      </c>
      <c r="J62" s="4">
        <f t="shared" si="0"/>
        <v>0.333333333333333</v>
      </c>
    </row>
    <row r="63" s="1" customFormat="1" spans="1:10">
      <c r="A63" s="1" t="s">
        <v>1979</v>
      </c>
      <c r="B63" s="1" t="s">
        <v>109</v>
      </c>
      <c r="C63" s="1">
        <v>2011</v>
      </c>
      <c r="D63" s="1" t="s">
        <v>1981</v>
      </c>
      <c r="E63" s="1" t="s">
        <v>1903</v>
      </c>
      <c r="F63" s="1" t="s">
        <v>1708</v>
      </c>
      <c r="G63" s="1" t="s">
        <v>1708</v>
      </c>
      <c r="H63" s="1" t="s">
        <v>1860</v>
      </c>
      <c r="I63" s="2">
        <v>3</v>
      </c>
      <c r="J63" s="4">
        <f t="shared" si="0"/>
        <v>0.333333333333333</v>
      </c>
    </row>
    <row r="64" s="1" customFormat="1" spans="1:10">
      <c r="A64" s="1" t="s">
        <v>1979</v>
      </c>
      <c r="B64" s="1" t="s">
        <v>109</v>
      </c>
      <c r="C64" s="1">
        <v>2011</v>
      </c>
      <c r="D64" s="1" t="s">
        <v>1982</v>
      </c>
      <c r="E64" s="1" t="s">
        <v>1905</v>
      </c>
      <c r="F64" s="1" t="s">
        <v>1708</v>
      </c>
      <c r="G64" s="1" t="s">
        <v>1708</v>
      </c>
      <c r="H64" s="1" t="s">
        <v>1860</v>
      </c>
      <c r="I64" s="2">
        <v>3</v>
      </c>
      <c r="J64" s="4">
        <f t="shared" si="0"/>
        <v>0.333333333333333</v>
      </c>
    </row>
    <row r="65" s="1" customFormat="1" spans="1:10">
      <c r="A65" s="1" t="s">
        <v>1983</v>
      </c>
      <c r="B65" s="1" t="s">
        <v>837</v>
      </c>
      <c r="C65" s="1">
        <v>2011</v>
      </c>
      <c r="D65" s="1" t="s">
        <v>1970</v>
      </c>
      <c r="E65" s="1" t="s">
        <v>1900</v>
      </c>
      <c r="F65" s="1" t="s">
        <v>1706</v>
      </c>
      <c r="G65" s="1" t="s">
        <v>1706</v>
      </c>
      <c r="H65" s="1" t="s">
        <v>1854</v>
      </c>
      <c r="I65" s="2">
        <v>5</v>
      </c>
      <c r="J65" s="4">
        <f t="shared" si="0"/>
        <v>0.2</v>
      </c>
    </row>
    <row r="66" s="1" customFormat="1" spans="1:10">
      <c r="A66" s="1" t="s">
        <v>1983</v>
      </c>
      <c r="B66" s="1" t="s">
        <v>837</v>
      </c>
      <c r="C66" s="1">
        <v>2011</v>
      </c>
      <c r="D66" s="1" t="s">
        <v>1984</v>
      </c>
      <c r="E66" s="1" t="s">
        <v>1903</v>
      </c>
      <c r="F66" s="1" t="s">
        <v>1706</v>
      </c>
      <c r="G66" s="1" t="s">
        <v>1706</v>
      </c>
      <c r="H66" s="1" t="s">
        <v>1854</v>
      </c>
      <c r="I66" s="2">
        <v>5</v>
      </c>
      <c r="J66" s="4">
        <f t="shared" ref="J66:J129" si="1">1/I66</f>
        <v>0.2</v>
      </c>
    </row>
    <row r="67" s="1" customFormat="1" spans="1:10">
      <c r="A67" s="1" t="s">
        <v>1983</v>
      </c>
      <c r="B67" s="1" t="s">
        <v>837</v>
      </c>
      <c r="C67" s="1">
        <v>2011</v>
      </c>
      <c r="D67" s="1" t="s">
        <v>1971</v>
      </c>
      <c r="E67" s="1" t="s">
        <v>1903</v>
      </c>
      <c r="F67" s="1" t="s">
        <v>1706</v>
      </c>
      <c r="G67" s="1" t="s">
        <v>1706</v>
      </c>
      <c r="H67" s="1" t="s">
        <v>1854</v>
      </c>
      <c r="I67" s="2">
        <v>5</v>
      </c>
      <c r="J67" s="4">
        <f t="shared" si="1"/>
        <v>0.2</v>
      </c>
    </row>
    <row r="68" s="1" customFormat="1" spans="1:10">
      <c r="A68" s="1" t="s">
        <v>1983</v>
      </c>
      <c r="B68" s="1" t="s">
        <v>837</v>
      </c>
      <c r="C68" s="1">
        <v>2011</v>
      </c>
      <c r="D68" s="1" t="s">
        <v>1932</v>
      </c>
      <c r="E68" s="1" t="s">
        <v>1903</v>
      </c>
      <c r="F68" s="1" t="s">
        <v>1706</v>
      </c>
      <c r="G68" s="1" t="s">
        <v>1706</v>
      </c>
      <c r="H68" s="1" t="s">
        <v>1854</v>
      </c>
      <c r="I68" s="2">
        <v>5</v>
      </c>
      <c r="J68" s="4">
        <f t="shared" si="1"/>
        <v>0.2</v>
      </c>
    </row>
    <row r="69" s="1" customFormat="1" spans="1:10">
      <c r="A69" s="1" t="s">
        <v>1983</v>
      </c>
      <c r="B69" s="1" t="s">
        <v>837</v>
      </c>
      <c r="C69" s="1">
        <v>2011</v>
      </c>
      <c r="D69" s="1" t="s">
        <v>1985</v>
      </c>
      <c r="E69" s="1" t="s">
        <v>1905</v>
      </c>
      <c r="F69" s="1" t="s">
        <v>1706</v>
      </c>
      <c r="G69" s="1" t="s">
        <v>1706</v>
      </c>
      <c r="H69" s="1" t="s">
        <v>1854</v>
      </c>
      <c r="I69" s="2">
        <v>5</v>
      </c>
      <c r="J69" s="4">
        <f t="shared" si="1"/>
        <v>0.2</v>
      </c>
    </row>
    <row r="70" s="1" customFormat="1" spans="1:10">
      <c r="A70" s="1" t="s">
        <v>1986</v>
      </c>
      <c r="B70" s="1" t="s">
        <v>798</v>
      </c>
      <c r="C70" s="1">
        <v>2011</v>
      </c>
      <c r="D70" s="1" t="s">
        <v>1987</v>
      </c>
      <c r="E70" s="1" t="s">
        <v>1900</v>
      </c>
      <c r="F70" s="1" t="s">
        <v>1736</v>
      </c>
      <c r="G70" s="1" t="s">
        <v>1736</v>
      </c>
      <c r="H70" s="1" t="s">
        <v>1857</v>
      </c>
      <c r="I70" s="2">
        <v>4</v>
      </c>
      <c r="J70" s="4">
        <f t="shared" si="1"/>
        <v>0.25</v>
      </c>
    </row>
    <row r="71" s="1" customFormat="1" spans="1:10">
      <c r="A71" s="1" t="s">
        <v>1986</v>
      </c>
      <c r="B71" s="1" t="s">
        <v>798</v>
      </c>
      <c r="C71" s="1">
        <v>2011</v>
      </c>
      <c r="D71" s="1" t="s">
        <v>1988</v>
      </c>
      <c r="E71" s="1" t="s">
        <v>1903</v>
      </c>
      <c r="F71" s="1" t="s">
        <v>1736</v>
      </c>
      <c r="G71" s="1" t="s">
        <v>1736</v>
      </c>
      <c r="H71" s="1" t="s">
        <v>1857</v>
      </c>
      <c r="I71" s="2">
        <v>4</v>
      </c>
      <c r="J71" s="4">
        <f t="shared" si="1"/>
        <v>0.25</v>
      </c>
    </row>
    <row r="72" s="1" customFormat="1" spans="1:10">
      <c r="A72" s="1" t="s">
        <v>1986</v>
      </c>
      <c r="B72" s="1" t="s">
        <v>798</v>
      </c>
      <c r="C72" s="1">
        <v>2011</v>
      </c>
      <c r="D72" s="1" t="s">
        <v>1989</v>
      </c>
      <c r="E72" s="1" t="s">
        <v>1903</v>
      </c>
      <c r="F72" s="1" t="s">
        <v>1736</v>
      </c>
      <c r="G72" s="1" t="s">
        <v>1736</v>
      </c>
      <c r="H72" s="1" t="s">
        <v>1857</v>
      </c>
      <c r="I72" s="2">
        <v>4</v>
      </c>
      <c r="J72" s="4">
        <f t="shared" si="1"/>
        <v>0.25</v>
      </c>
    </row>
    <row r="73" s="1" customFormat="1" spans="1:10">
      <c r="A73" s="1" t="s">
        <v>1986</v>
      </c>
      <c r="B73" s="1" t="s">
        <v>798</v>
      </c>
      <c r="C73" s="1">
        <v>2011</v>
      </c>
      <c r="D73" s="1" t="s">
        <v>1990</v>
      </c>
      <c r="E73" s="1" t="s">
        <v>1905</v>
      </c>
      <c r="F73" s="1" t="s">
        <v>1819</v>
      </c>
      <c r="G73" s="1" t="s">
        <v>1819</v>
      </c>
      <c r="H73" s="1" t="s">
        <v>1857</v>
      </c>
      <c r="I73" s="2">
        <v>4</v>
      </c>
      <c r="J73" s="4">
        <f t="shared" si="1"/>
        <v>0.25</v>
      </c>
    </row>
    <row r="74" s="1" customFormat="1" spans="1:10">
      <c r="A74" s="1" t="s">
        <v>1991</v>
      </c>
      <c r="B74" s="1" t="s">
        <v>342</v>
      </c>
      <c r="C74" s="1">
        <v>2011</v>
      </c>
      <c r="D74" s="1" t="s">
        <v>1992</v>
      </c>
      <c r="E74" s="1" t="s">
        <v>1900</v>
      </c>
      <c r="F74" s="1" t="s">
        <v>1708</v>
      </c>
      <c r="G74" s="1" t="s">
        <v>1708</v>
      </c>
      <c r="H74" s="1" t="s">
        <v>1860</v>
      </c>
      <c r="I74" s="2">
        <v>4</v>
      </c>
      <c r="J74" s="4">
        <f t="shared" si="1"/>
        <v>0.25</v>
      </c>
    </row>
    <row r="75" s="1" customFormat="1" spans="1:10">
      <c r="A75" s="1" t="s">
        <v>1991</v>
      </c>
      <c r="B75" s="1" t="s">
        <v>342</v>
      </c>
      <c r="C75" s="1">
        <v>2011</v>
      </c>
      <c r="D75" s="1" t="s">
        <v>1982</v>
      </c>
      <c r="E75" s="1" t="s">
        <v>1903</v>
      </c>
      <c r="F75" s="1" t="s">
        <v>1708</v>
      </c>
      <c r="G75" s="1" t="s">
        <v>1708</v>
      </c>
      <c r="H75" s="1" t="s">
        <v>1860</v>
      </c>
      <c r="I75" s="2">
        <v>4</v>
      </c>
      <c r="J75" s="4">
        <f t="shared" si="1"/>
        <v>0.25</v>
      </c>
    </row>
    <row r="76" s="1" customFormat="1" spans="1:10">
      <c r="A76" s="1" t="s">
        <v>1991</v>
      </c>
      <c r="B76" s="1" t="s">
        <v>342</v>
      </c>
      <c r="C76" s="1">
        <v>2011</v>
      </c>
      <c r="D76" s="1" t="s">
        <v>1993</v>
      </c>
      <c r="E76" s="1" t="s">
        <v>1903</v>
      </c>
      <c r="F76" s="1" t="s">
        <v>1708</v>
      </c>
      <c r="G76" s="1" t="s">
        <v>1708</v>
      </c>
      <c r="H76" s="1" t="s">
        <v>1860</v>
      </c>
      <c r="I76" s="2">
        <v>4</v>
      </c>
      <c r="J76" s="4">
        <f t="shared" si="1"/>
        <v>0.25</v>
      </c>
    </row>
    <row r="77" s="1" customFormat="1" spans="1:10">
      <c r="A77" s="1" t="s">
        <v>1991</v>
      </c>
      <c r="B77" s="1" t="s">
        <v>342</v>
      </c>
      <c r="C77" s="1">
        <v>2011</v>
      </c>
      <c r="D77" s="1" t="s">
        <v>1994</v>
      </c>
      <c r="E77" s="1" t="s">
        <v>1905</v>
      </c>
      <c r="F77" s="1" t="s">
        <v>1722</v>
      </c>
      <c r="G77" s="1" t="s">
        <v>1722</v>
      </c>
      <c r="H77" s="1" t="s">
        <v>1860</v>
      </c>
      <c r="I77" s="2">
        <v>4</v>
      </c>
      <c r="J77" s="4">
        <f t="shared" si="1"/>
        <v>0.25</v>
      </c>
    </row>
    <row r="78" s="1" customFormat="1" spans="1:10">
      <c r="A78" s="1" t="s">
        <v>1995</v>
      </c>
      <c r="B78" s="1" t="s">
        <v>668</v>
      </c>
      <c r="C78" s="1">
        <v>2012</v>
      </c>
      <c r="D78" s="1" t="s">
        <v>1996</v>
      </c>
      <c r="E78" s="1" t="s">
        <v>1900</v>
      </c>
      <c r="F78" s="1" t="s">
        <v>1770</v>
      </c>
      <c r="G78" s="1" t="s">
        <v>1770</v>
      </c>
      <c r="H78" s="1" t="s">
        <v>1859</v>
      </c>
      <c r="I78" s="2">
        <v>3</v>
      </c>
      <c r="J78" s="4">
        <f t="shared" si="1"/>
        <v>0.333333333333333</v>
      </c>
    </row>
    <row r="79" s="1" customFormat="1" spans="1:10">
      <c r="A79" s="1" t="s">
        <v>1995</v>
      </c>
      <c r="B79" s="1" t="s">
        <v>668</v>
      </c>
      <c r="C79" s="1">
        <v>2012</v>
      </c>
      <c r="D79" s="1" t="s">
        <v>1997</v>
      </c>
      <c r="E79" s="1" t="s">
        <v>1903</v>
      </c>
      <c r="F79" s="1" t="s">
        <v>1774</v>
      </c>
      <c r="G79" s="1" t="s">
        <v>1774</v>
      </c>
      <c r="H79" s="1" t="s">
        <v>1862</v>
      </c>
      <c r="I79" s="2">
        <v>3</v>
      </c>
      <c r="J79" s="4">
        <f t="shared" si="1"/>
        <v>0.333333333333333</v>
      </c>
    </row>
    <row r="80" s="1" customFormat="1" spans="1:10">
      <c r="A80" s="1" t="s">
        <v>1995</v>
      </c>
      <c r="B80" s="1" t="s">
        <v>668</v>
      </c>
      <c r="C80" s="1">
        <v>2012</v>
      </c>
      <c r="D80" s="1" t="s">
        <v>1998</v>
      </c>
      <c r="E80" s="1" t="s">
        <v>1905</v>
      </c>
      <c r="F80" s="1" t="s">
        <v>1770</v>
      </c>
      <c r="G80" s="1" t="s">
        <v>1770</v>
      </c>
      <c r="H80" s="1" t="s">
        <v>1859</v>
      </c>
      <c r="I80" s="2">
        <v>3</v>
      </c>
      <c r="J80" s="4">
        <f t="shared" si="1"/>
        <v>0.333333333333333</v>
      </c>
    </row>
    <row r="81" s="1" customFormat="1" spans="1:10">
      <c r="A81" s="1" t="s">
        <v>1999</v>
      </c>
      <c r="B81" s="1" t="s">
        <v>727</v>
      </c>
      <c r="C81" s="1">
        <v>2011</v>
      </c>
      <c r="D81" s="1" t="s">
        <v>2000</v>
      </c>
      <c r="E81" s="1" t="s">
        <v>1900</v>
      </c>
      <c r="F81" s="1" t="s">
        <v>1760</v>
      </c>
      <c r="G81" s="1" t="s">
        <v>1760</v>
      </c>
      <c r="H81" s="1" t="s">
        <v>1861</v>
      </c>
      <c r="I81" s="2">
        <v>6</v>
      </c>
      <c r="J81" s="4">
        <f t="shared" si="1"/>
        <v>0.166666666666667</v>
      </c>
    </row>
    <row r="82" s="1" customFormat="1" spans="1:10">
      <c r="A82" s="1" t="s">
        <v>1999</v>
      </c>
      <c r="B82" s="1" t="s">
        <v>727</v>
      </c>
      <c r="C82" s="1">
        <v>2011</v>
      </c>
      <c r="D82" s="1" t="s">
        <v>2001</v>
      </c>
      <c r="E82" s="1" t="s">
        <v>1903</v>
      </c>
      <c r="F82" s="1" t="s">
        <v>1842</v>
      </c>
      <c r="G82" s="1" t="s">
        <v>1842</v>
      </c>
      <c r="H82" s="1" t="s">
        <v>1861</v>
      </c>
      <c r="I82" s="2">
        <v>6</v>
      </c>
      <c r="J82" s="4">
        <f t="shared" si="1"/>
        <v>0.166666666666667</v>
      </c>
    </row>
    <row r="83" s="1" customFormat="1" spans="1:10">
      <c r="A83" s="1" t="s">
        <v>1999</v>
      </c>
      <c r="B83" s="1" t="s">
        <v>727</v>
      </c>
      <c r="C83" s="1">
        <v>2011</v>
      </c>
      <c r="D83" s="1" t="s">
        <v>2002</v>
      </c>
      <c r="E83" s="1" t="s">
        <v>1903</v>
      </c>
      <c r="F83" s="1" t="s">
        <v>1760</v>
      </c>
      <c r="G83" s="1" t="s">
        <v>1760</v>
      </c>
      <c r="H83" s="1" t="s">
        <v>1861</v>
      </c>
      <c r="I83" s="2">
        <v>6</v>
      </c>
      <c r="J83" s="4">
        <f t="shared" si="1"/>
        <v>0.166666666666667</v>
      </c>
    </row>
    <row r="84" s="1" customFormat="1" spans="1:10">
      <c r="A84" s="1" t="s">
        <v>1999</v>
      </c>
      <c r="B84" s="1" t="s">
        <v>727</v>
      </c>
      <c r="C84" s="1">
        <v>2011</v>
      </c>
      <c r="D84" s="1" t="s">
        <v>2003</v>
      </c>
      <c r="E84" s="1" t="s">
        <v>1903</v>
      </c>
      <c r="F84" s="1" t="s">
        <v>1843</v>
      </c>
      <c r="G84" s="1" t="s">
        <v>1843</v>
      </c>
      <c r="H84" s="1" t="s">
        <v>1861</v>
      </c>
      <c r="I84" s="2">
        <v>6</v>
      </c>
      <c r="J84" s="4">
        <f t="shared" si="1"/>
        <v>0.166666666666667</v>
      </c>
    </row>
    <row r="85" s="1" customFormat="1" spans="1:10">
      <c r="A85" s="1" t="s">
        <v>1999</v>
      </c>
      <c r="B85" s="1" t="s">
        <v>727</v>
      </c>
      <c r="C85" s="1">
        <v>2011</v>
      </c>
      <c r="D85" s="1" t="s">
        <v>2004</v>
      </c>
      <c r="E85" s="1" t="s">
        <v>1903</v>
      </c>
      <c r="F85" s="1" t="s">
        <v>1760</v>
      </c>
      <c r="G85" s="1" t="s">
        <v>1760</v>
      </c>
      <c r="H85" s="1" t="s">
        <v>1861</v>
      </c>
      <c r="I85" s="2">
        <v>6</v>
      </c>
      <c r="J85" s="4">
        <f t="shared" si="1"/>
        <v>0.166666666666667</v>
      </c>
    </row>
    <row r="86" s="1" customFormat="1" spans="1:10">
      <c r="A86" s="1" t="s">
        <v>1999</v>
      </c>
      <c r="B86" s="1" t="s">
        <v>727</v>
      </c>
      <c r="C86" s="1">
        <v>2011</v>
      </c>
      <c r="D86" s="1" t="s">
        <v>2005</v>
      </c>
      <c r="E86" s="1" t="s">
        <v>1905</v>
      </c>
      <c r="F86" s="1" t="s">
        <v>1760</v>
      </c>
      <c r="G86" s="1" t="s">
        <v>1760</v>
      </c>
      <c r="H86" s="1" t="s">
        <v>1861</v>
      </c>
      <c r="I86" s="2">
        <v>6</v>
      </c>
      <c r="J86" s="4">
        <f t="shared" si="1"/>
        <v>0.166666666666667</v>
      </c>
    </row>
    <row r="87" s="1" customFormat="1" spans="1:10">
      <c r="A87" s="1" t="s">
        <v>2006</v>
      </c>
      <c r="B87" s="1" t="s">
        <v>395</v>
      </c>
      <c r="C87" s="1">
        <v>2012</v>
      </c>
      <c r="D87" s="1" t="s">
        <v>1929</v>
      </c>
      <c r="E87" s="1" t="s">
        <v>1900</v>
      </c>
      <c r="F87" s="1" t="s">
        <v>1706</v>
      </c>
      <c r="G87" s="1" t="s">
        <v>1706</v>
      </c>
      <c r="H87" s="1" t="s">
        <v>1854</v>
      </c>
      <c r="I87" s="2">
        <v>3</v>
      </c>
      <c r="J87" s="4">
        <f t="shared" si="1"/>
        <v>0.333333333333333</v>
      </c>
    </row>
    <row r="88" s="1" customFormat="1" spans="1:10">
      <c r="A88" s="1" t="s">
        <v>2006</v>
      </c>
      <c r="B88" s="1" t="s">
        <v>395</v>
      </c>
      <c r="C88" s="1">
        <v>2012</v>
      </c>
      <c r="D88" s="1" t="s">
        <v>2007</v>
      </c>
      <c r="E88" s="1" t="s">
        <v>1903</v>
      </c>
      <c r="F88" s="1" t="s">
        <v>1706</v>
      </c>
      <c r="G88" s="1" t="s">
        <v>1706</v>
      </c>
      <c r="H88" s="1" t="s">
        <v>1854</v>
      </c>
      <c r="I88" s="2">
        <v>3</v>
      </c>
      <c r="J88" s="4">
        <f t="shared" si="1"/>
        <v>0.333333333333333</v>
      </c>
    </row>
    <row r="89" s="1" customFormat="1" spans="1:10">
      <c r="A89" s="1" t="s">
        <v>2006</v>
      </c>
      <c r="B89" s="1" t="s">
        <v>395</v>
      </c>
      <c r="C89" s="1">
        <v>2012</v>
      </c>
      <c r="D89" s="1" t="s">
        <v>1933</v>
      </c>
      <c r="E89" s="1" t="s">
        <v>1905</v>
      </c>
      <c r="F89" s="1" t="s">
        <v>1811</v>
      </c>
      <c r="G89" s="1" t="s">
        <v>1811</v>
      </c>
      <c r="H89" s="1" t="s">
        <v>1857</v>
      </c>
      <c r="I89" s="2">
        <v>3</v>
      </c>
      <c r="J89" s="4">
        <f t="shared" si="1"/>
        <v>0.333333333333333</v>
      </c>
    </row>
    <row r="90" s="1" customFormat="1" spans="1:10">
      <c r="A90" s="1" t="s">
        <v>2008</v>
      </c>
      <c r="B90" s="1" t="s">
        <v>620</v>
      </c>
      <c r="C90" s="1">
        <v>2012</v>
      </c>
      <c r="D90" s="1" t="s">
        <v>2009</v>
      </c>
      <c r="E90" s="1" t="s">
        <v>1900</v>
      </c>
      <c r="F90" s="1" t="s">
        <v>1723</v>
      </c>
      <c r="G90" s="1" t="s">
        <v>1723</v>
      </c>
      <c r="H90" s="1" t="s">
        <v>1853</v>
      </c>
      <c r="I90" s="2">
        <v>4</v>
      </c>
      <c r="J90" s="4">
        <f t="shared" si="1"/>
        <v>0.25</v>
      </c>
    </row>
    <row r="91" s="1" customFormat="1" spans="1:10">
      <c r="A91" s="1" t="s">
        <v>2008</v>
      </c>
      <c r="B91" s="1" t="s">
        <v>620</v>
      </c>
      <c r="C91" s="1">
        <v>2012</v>
      </c>
      <c r="D91" s="1" t="s">
        <v>2010</v>
      </c>
      <c r="E91" s="1" t="s">
        <v>1903</v>
      </c>
      <c r="F91" s="1" t="s">
        <v>1723</v>
      </c>
      <c r="G91" s="1" t="s">
        <v>1723</v>
      </c>
      <c r="H91" s="1" t="s">
        <v>1853</v>
      </c>
      <c r="I91" s="2">
        <v>4</v>
      </c>
      <c r="J91" s="4">
        <f t="shared" si="1"/>
        <v>0.25</v>
      </c>
    </row>
    <row r="92" s="1" customFormat="1" spans="1:10">
      <c r="A92" s="1" t="s">
        <v>2008</v>
      </c>
      <c r="B92" s="1" t="s">
        <v>620</v>
      </c>
      <c r="C92" s="1">
        <v>2012</v>
      </c>
      <c r="D92" s="1" t="s">
        <v>2011</v>
      </c>
      <c r="E92" s="1" t="s">
        <v>1903</v>
      </c>
      <c r="F92" s="1" t="s">
        <v>1723</v>
      </c>
      <c r="G92" s="1" t="s">
        <v>1723</v>
      </c>
      <c r="H92" s="1" t="s">
        <v>1853</v>
      </c>
      <c r="I92" s="2">
        <v>4</v>
      </c>
      <c r="J92" s="4">
        <f t="shared" si="1"/>
        <v>0.25</v>
      </c>
    </row>
    <row r="93" s="1" customFormat="1" spans="1:10">
      <c r="A93" s="1" t="s">
        <v>2008</v>
      </c>
      <c r="B93" s="1" t="s">
        <v>620</v>
      </c>
      <c r="C93" s="1">
        <v>2012</v>
      </c>
      <c r="D93" s="1" t="s">
        <v>2012</v>
      </c>
      <c r="E93" s="1" t="s">
        <v>1905</v>
      </c>
      <c r="F93" s="1" t="s">
        <v>1723</v>
      </c>
      <c r="G93" s="1" t="s">
        <v>1723</v>
      </c>
      <c r="H93" s="1" t="s">
        <v>1853</v>
      </c>
      <c r="I93" s="2">
        <v>4</v>
      </c>
      <c r="J93" s="4">
        <f t="shared" si="1"/>
        <v>0.25</v>
      </c>
    </row>
    <row r="94" s="1" customFormat="1" spans="1:10">
      <c r="A94" s="1" t="s">
        <v>2013</v>
      </c>
      <c r="B94" s="1" t="s">
        <v>76</v>
      </c>
      <c r="C94" s="1">
        <v>2012</v>
      </c>
      <c r="D94" s="1" t="s">
        <v>2014</v>
      </c>
      <c r="E94" s="1" t="s">
        <v>1900</v>
      </c>
      <c r="F94" s="1" t="s">
        <v>1759</v>
      </c>
      <c r="G94" s="1" t="s">
        <v>1759</v>
      </c>
      <c r="H94" s="1" t="s">
        <v>1857</v>
      </c>
      <c r="I94" s="2">
        <v>2</v>
      </c>
      <c r="J94" s="4">
        <f t="shared" si="1"/>
        <v>0.5</v>
      </c>
    </row>
    <row r="95" s="1" customFormat="1" spans="1:10">
      <c r="A95" s="1" t="s">
        <v>2013</v>
      </c>
      <c r="B95" s="1" t="s">
        <v>76</v>
      </c>
      <c r="C95" s="1">
        <v>2012</v>
      </c>
      <c r="D95" s="1" t="s">
        <v>2015</v>
      </c>
      <c r="E95" s="1" t="s">
        <v>1905</v>
      </c>
      <c r="F95" s="1" t="s">
        <v>1732</v>
      </c>
      <c r="G95" s="1" t="s">
        <v>1732</v>
      </c>
      <c r="H95" s="1" t="s">
        <v>1857</v>
      </c>
      <c r="I95" s="2">
        <v>2</v>
      </c>
      <c r="J95" s="4">
        <f t="shared" si="1"/>
        <v>0.5</v>
      </c>
    </row>
    <row r="96" s="1" customFormat="1" spans="1:10">
      <c r="A96" s="1" t="s">
        <v>2016</v>
      </c>
      <c r="B96" s="1" t="s">
        <v>105</v>
      </c>
      <c r="C96" s="1">
        <v>2012</v>
      </c>
      <c r="D96" s="1" t="s">
        <v>1949</v>
      </c>
      <c r="E96" s="1" t="s">
        <v>1900</v>
      </c>
      <c r="F96" s="1" t="s">
        <v>1705</v>
      </c>
      <c r="G96" s="1" t="s">
        <v>1705</v>
      </c>
      <c r="H96" s="1" t="s">
        <v>1858</v>
      </c>
      <c r="I96" s="2">
        <v>5</v>
      </c>
      <c r="J96" s="4">
        <f t="shared" si="1"/>
        <v>0.2</v>
      </c>
    </row>
    <row r="97" s="1" customFormat="1" spans="1:10">
      <c r="A97" s="1" t="s">
        <v>2016</v>
      </c>
      <c r="B97" s="1" t="s">
        <v>105</v>
      </c>
      <c r="C97" s="1">
        <v>2012</v>
      </c>
      <c r="D97" s="1" t="s">
        <v>1924</v>
      </c>
      <c r="E97" s="1" t="s">
        <v>1903</v>
      </c>
      <c r="F97" s="1" t="s">
        <v>1705</v>
      </c>
      <c r="G97" s="1" t="s">
        <v>1705</v>
      </c>
      <c r="H97" s="1" t="s">
        <v>1858</v>
      </c>
      <c r="I97" s="2">
        <v>5</v>
      </c>
      <c r="J97" s="4">
        <f t="shared" si="1"/>
        <v>0.2</v>
      </c>
    </row>
    <row r="98" s="1" customFormat="1" spans="1:10">
      <c r="A98" s="1" t="s">
        <v>2016</v>
      </c>
      <c r="B98" s="1" t="s">
        <v>105</v>
      </c>
      <c r="C98" s="1">
        <v>2012</v>
      </c>
      <c r="D98" s="1" t="s">
        <v>1925</v>
      </c>
      <c r="E98" s="1" t="s">
        <v>1903</v>
      </c>
      <c r="F98" s="1" t="s">
        <v>1705</v>
      </c>
      <c r="G98" s="1" t="s">
        <v>1705</v>
      </c>
      <c r="H98" s="1" t="s">
        <v>1858</v>
      </c>
      <c r="I98" s="2">
        <v>5</v>
      </c>
      <c r="J98" s="4">
        <f t="shared" si="1"/>
        <v>0.2</v>
      </c>
    </row>
    <row r="99" s="1" customFormat="1" spans="1:10">
      <c r="A99" s="1" t="s">
        <v>2016</v>
      </c>
      <c r="B99" s="1" t="s">
        <v>105</v>
      </c>
      <c r="C99" s="1">
        <v>2012</v>
      </c>
      <c r="D99" s="1" t="s">
        <v>2017</v>
      </c>
      <c r="E99" s="1" t="s">
        <v>1903</v>
      </c>
      <c r="F99" s="1" t="s">
        <v>1705</v>
      </c>
      <c r="G99" s="1" t="s">
        <v>1705</v>
      </c>
      <c r="H99" s="1" t="s">
        <v>1858</v>
      </c>
      <c r="I99" s="2">
        <v>5</v>
      </c>
      <c r="J99" s="4">
        <f t="shared" si="1"/>
        <v>0.2</v>
      </c>
    </row>
    <row r="100" s="1" customFormat="1" spans="1:10">
      <c r="A100" s="1" t="s">
        <v>2016</v>
      </c>
      <c r="B100" s="1" t="s">
        <v>105</v>
      </c>
      <c r="C100" s="1">
        <v>2012</v>
      </c>
      <c r="D100" s="1" t="s">
        <v>1950</v>
      </c>
      <c r="E100" s="1" t="s">
        <v>1905</v>
      </c>
      <c r="F100" s="1" t="s">
        <v>1705</v>
      </c>
      <c r="G100" s="1" t="s">
        <v>1705</v>
      </c>
      <c r="H100" s="1" t="s">
        <v>1858</v>
      </c>
      <c r="I100" s="2">
        <v>5</v>
      </c>
      <c r="J100" s="4">
        <f t="shared" si="1"/>
        <v>0.2</v>
      </c>
    </row>
    <row r="101" s="1" customFormat="1" spans="1:10">
      <c r="A101" s="1" t="s">
        <v>2018</v>
      </c>
      <c r="B101" s="1" t="s">
        <v>179</v>
      </c>
      <c r="C101" s="1">
        <v>2012</v>
      </c>
      <c r="D101" s="1" t="s">
        <v>2019</v>
      </c>
      <c r="E101" s="1" t="s">
        <v>1900</v>
      </c>
      <c r="F101" s="1" t="s">
        <v>1715</v>
      </c>
      <c r="G101" s="1" t="s">
        <v>1715</v>
      </c>
      <c r="H101" s="1" t="s">
        <v>1856</v>
      </c>
      <c r="I101" s="2">
        <v>1</v>
      </c>
      <c r="J101" s="4">
        <f t="shared" si="1"/>
        <v>1</v>
      </c>
    </row>
    <row r="102" s="1" customFormat="1" spans="1:10">
      <c r="A102" s="1" t="s">
        <v>2020</v>
      </c>
      <c r="B102" s="1" t="s">
        <v>191</v>
      </c>
      <c r="C102" s="1">
        <v>2012</v>
      </c>
      <c r="D102" s="1" t="s">
        <v>2021</v>
      </c>
      <c r="E102" s="1" t="s">
        <v>1900</v>
      </c>
      <c r="F102" s="1" t="s">
        <v>1710</v>
      </c>
      <c r="G102" s="1" t="s">
        <v>1710</v>
      </c>
      <c r="H102" s="1" t="s">
        <v>1868</v>
      </c>
      <c r="I102" s="2">
        <v>3</v>
      </c>
      <c r="J102" s="4">
        <f t="shared" si="1"/>
        <v>0.333333333333333</v>
      </c>
    </row>
    <row r="103" s="1" customFormat="1" spans="1:10">
      <c r="A103" s="1" t="s">
        <v>2020</v>
      </c>
      <c r="B103" s="1" t="s">
        <v>191</v>
      </c>
      <c r="C103" s="1">
        <v>2012</v>
      </c>
      <c r="D103" s="1" t="s">
        <v>2022</v>
      </c>
      <c r="E103" s="1" t="s">
        <v>1903</v>
      </c>
      <c r="F103" s="1" t="s">
        <v>1710</v>
      </c>
      <c r="G103" s="1" t="s">
        <v>1710</v>
      </c>
      <c r="H103" s="1" t="s">
        <v>1868</v>
      </c>
      <c r="I103" s="2">
        <v>3</v>
      </c>
      <c r="J103" s="4">
        <f t="shared" si="1"/>
        <v>0.333333333333333</v>
      </c>
    </row>
    <row r="104" s="1" customFormat="1" spans="1:10">
      <c r="A104" s="1" t="s">
        <v>2020</v>
      </c>
      <c r="B104" s="1" t="s">
        <v>191</v>
      </c>
      <c r="C104" s="1">
        <v>2012</v>
      </c>
      <c r="D104" s="1" t="s">
        <v>1935</v>
      </c>
      <c r="E104" s="1" t="s">
        <v>1905</v>
      </c>
      <c r="F104" s="1" t="s">
        <v>1710</v>
      </c>
      <c r="G104" s="1" t="s">
        <v>1710</v>
      </c>
      <c r="H104" s="1" t="s">
        <v>1868</v>
      </c>
      <c r="I104" s="2">
        <v>3</v>
      </c>
      <c r="J104" s="4">
        <f t="shared" si="1"/>
        <v>0.333333333333333</v>
      </c>
    </row>
    <row r="105" s="1" customFormat="1" spans="1:10">
      <c r="A105" s="1" t="s">
        <v>2023</v>
      </c>
      <c r="B105" s="1" t="s">
        <v>2024</v>
      </c>
      <c r="C105" s="1">
        <v>2011</v>
      </c>
      <c r="D105" s="1" t="s">
        <v>2025</v>
      </c>
      <c r="E105" s="1" t="s">
        <v>1900</v>
      </c>
      <c r="F105" s="1" t="s">
        <v>1719</v>
      </c>
      <c r="G105" s="1" t="s">
        <v>1719</v>
      </c>
      <c r="H105" s="1" t="s">
        <v>1855</v>
      </c>
      <c r="I105" s="2">
        <v>1</v>
      </c>
      <c r="J105" s="4">
        <f t="shared" si="1"/>
        <v>1</v>
      </c>
    </row>
    <row r="106" s="1" customFormat="1" spans="1:10">
      <c r="A106" s="1" t="s">
        <v>2026</v>
      </c>
      <c r="B106" s="1" t="s">
        <v>84</v>
      </c>
      <c r="C106" s="1">
        <v>2012</v>
      </c>
      <c r="D106" s="1" t="s">
        <v>2027</v>
      </c>
      <c r="E106" s="1" t="s">
        <v>1900</v>
      </c>
      <c r="F106" s="1" t="s">
        <v>1732</v>
      </c>
      <c r="G106" s="1" t="s">
        <v>1732</v>
      </c>
      <c r="H106" s="1" t="s">
        <v>1857</v>
      </c>
      <c r="I106" s="2">
        <v>2</v>
      </c>
      <c r="J106" s="4">
        <f t="shared" si="1"/>
        <v>0.5</v>
      </c>
    </row>
    <row r="107" s="1" customFormat="1" spans="1:10">
      <c r="A107" s="1" t="s">
        <v>2026</v>
      </c>
      <c r="B107" s="1" t="s">
        <v>84</v>
      </c>
      <c r="C107" s="1">
        <v>2012</v>
      </c>
      <c r="D107" s="1" t="s">
        <v>2028</v>
      </c>
      <c r="E107" s="1" t="s">
        <v>1905</v>
      </c>
      <c r="F107" s="1" t="s">
        <v>1790</v>
      </c>
      <c r="G107" s="1" t="s">
        <v>1790</v>
      </c>
      <c r="H107" s="1" t="s">
        <v>1857</v>
      </c>
      <c r="I107" s="2">
        <v>2</v>
      </c>
      <c r="J107" s="4">
        <f t="shared" si="1"/>
        <v>0.5</v>
      </c>
    </row>
    <row r="108" s="1" customFormat="1" spans="1:10">
      <c r="A108" s="1" t="s">
        <v>2029</v>
      </c>
      <c r="B108" s="1" t="s">
        <v>336</v>
      </c>
      <c r="C108" s="1">
        <v>2012</v>
      </c>
      <c r="D108" s="1" t="s">
        <v>2030</v>
      </c>
      <c r="E108" s="1" t="s">
        <v>1900</v>
      </c>
      <c r="F108" s="1" t="s">
        <v>1722</v>
      </c>
      <c r="G108" s="1" t="s">
        <v>1722</v>
      </c>
      <c r="H108" s="1" t="s">
        <v>1860</v>
      </c>
      <c r="I108" s="2">
        <v>6</v>
      </c>
      <c r="J108" s="4">
        <f t="shared" si="1"/>
        <v>0.166666666666667</v>
      </c>
    </row>
    <row r="109" s="1" customFormat="1" spans="1:10">
      <c r="A109" s="1" t="s">
        <v>2029</v>
      </c>
      <c r="B109" s="1" t="s">
        <v>336</v>
      </c>
      <c r="C109" s="1">
        <v>2012</v>
      </c>
      <c r="D109" s="1" t="s">
        <v>2031</v>
      </c>
      <c r="E109" s="1" t="s">
        <v>1903</v>
      </c>
      <c r="F109" s="1" t="s">
        <v>1722</v>
      </c>
      <c r="G109" s="1" t="s">
        <v>1722</v>
      </c>
      <c r="H109" s="1" t="s">
        <v>1860</v>
      </c>
      <c r="I109" s="2">
        <v>6</v>
      </c>
      <c r="J109" s="4">
        <f t="shared" si="1"/>
        <v>0.166666666666667</v>
      </c>
    </row>
    <row r="110" s="1" customFormat="1" spans="1:10">
      <c r="A110" s="1" t="s">
        <v>2029</v>
      </c>
      <c r="B110" s="1" t="s">
        <v>336</v>
      </c>
      <c r="C110" s="1">
        <v>2012</v>
      </c>
      <c r="D110" s="1" t="s">
        <v>2032</v>
      </c>
      <c r="E110" s="1" t="s">
        <v>1903</v>
      </c>
      <c r="F110" s="1" t="s">
        <v>1722</v>
      </c>
      <c r="G110" s="1" t="s">
        <v>1722</v>
      </c>
      <c r="H110" s="1" t="s">
        <v>1860</v>
      </c>
      <c r="I110" s="2">
        <v>6</v>
      </c>
      <c r="J110" s="4">
        <f t="shared" si="1"/>
        <v>0.166666666666667</v>
      </c>
    </row>
    <row r="111" s="1" customFormat="1" spans="1:10">
      <c r="A111" s="1" t="s">
        <v>2029</v>
      </c>
      <c r="B111" s="1" t="s">
        <v>336</v>
      </c>
      <c r="C111" s="1">
        <v>2012</v>
      </c>
      <c r="D111" s="1" t="s">
        <v>2033</v>
      </c>
      <c r="E111" s="1" t="s">
        <v>1903</v>
      </c>
      <c r="F111" s="1" t="s">
        <v>1722</v>
      </c>
      <c r="G111" s="1" t="s">
        <v>1722</v>
      </c>
      <c r="H111" s="1" t="s">
        <v>1860</v>
      </c>
      <c r="I111" s="2">
        <v>6</v>
      </c>
      <c r="J111" s="4">
        <f t="shared" si="1"/>
        <v>0.166666666666667</v>
      </c>
    </row>
    <row r="112" s="1" customFormat="1" spans="1:10">
      <c r="A112" s="1" t="s">
        <v>2029</v>
      </c>
      <c r="B112" s="1" t="s">
        <v>336</v>
      </c>
      <c r="C112" s="1">
        <v>2012</v>
      </c>
      <c r="D112" s="1" t="s">
        <v>2034</v>
      </c>
      <c r="E112" s="1" t="s">
        <v>1903</v>
      </c>
      <c r="F112" s="1" t="s">
        <v>1708</v>
      </c>
      <c r="G112" s="1" t="s">
        <v>1708</v>
      </c>
      <c r="H112" s="1" t="s">
        <v>1860</v>
      </c>
      <c r="I112" s="2">
        <v>6</v>
      </c>
      <c r="J112" s="4">
        <f t="shared" si="1"/>
        <v>0.166666666666667</v>
      </c>
    </row>
    <row r="113" s="1" customFormat="1" spans="1:10">
      <c r="A113" s="1" t="s">
        <v>2029</v>
      </c>
      <c r="B113" s="1" t="s">
        <v>336</v>
      </c>
      <c r="C113" s="1">
        <v>2012</v>
      </c>
      <c r="D113" s="1" t="s">
        <v>2035</v>
      </c>
      <c r="E113" s="1" t="s">
        <v>1905</v>
      </c>
      <c r="F113" s="1" t="s">
        <v>1722</v>
      </c>
      <c r="G113" s="1" t="s">
        <v>1722</v>
      </c>
      <c r="H113" s="1" t="s">
        <v>1860</v>
      </c>
      <c r="I113" s="2">
        <v>6</v>
      </c>
      <c r="J113" s="4">
        <f t="shared" si="1"/>
        <v>0.166666666666667</v>
      </c>
    </row>
    <row r="114" s="1" customFormat="1" spans="1:10">
      <c r="A114" s="1" t="s">
        <v>2036</v>
      </c>
      <c r="B114" s="1" t="s">
        <v>401</v>
      </c>
      <c r="C114" s="1">
        <v>2013</v>
      </c>
      <c r="D114" s="1" t="s">
        <v>2037</v>
      </c>
      <c r="E114" s="1" t="s">
        <v>1900</v>
      </c>
      <c r="F114" s="1" t="s">
        <v>1773</v>
      </c>
      <c r="G114" s="1" t="s">
        <v>1773</v>
      </c>
      <c r="H114" s="1" t="s">
        <v>1853</v>
      </c>
      <c r="I114" s="2">
        <v>5</v>
      </c>
      <c r="J114" s="4">
        <f t="shared" si="1"/>
        <v>0.2</v>
      </c>
    </row>
    <row r="115" s="1" customFormat="1" spans="1:10">
      <c r="A115" s="1" t="s">
        <v>2036</v>
      </c>
      <c r="B115" s="1" t="s">
        <v>401</v>
      </c>
      <c r="C115" s="1">
        <v>2013</v>
      </c>
      <c r="D115" s="1" t="s">
        <v>2038</v>
      </c>
      <c r="E115" s="1" t="s">
        <v>1903</v>
      </c>
      <c r="F115" s="1" t="s">
        <v>1715</v>
      </c>
      <c r="G115" s="1" t="s">
        <v>1715</v>
      </c>
      <c r="H115" s="1" t="s">
        <v>1856</v>
      </c>
      <c r="I115" s="2">
        <v>5</v>
      </c>
      <c r="J115" s="4">
        <f t="shared" si="1"/>
        <v>0.2</v>
      </c>
    </row>
    <row r="116" s="1" customFormat="1" spans="1:10">
      <c r="A116" s="1" t="s">
        <v>2036</v>
      </c>
      <c r="B116" s="1" t="s">
        <v>401</v>
      </c>
      <c r="C116" s="1">
        <v>2013</v>
      </c>
      <c r="D116" s="1" t="s">
        <v>2039</v>
      </c>
      <c r="E116" s="1" t="s">
        <v>1903</v>
      </c>
      <c r="F116" s="1" t="s">
        <v>1773</v>
      </c>
      <c r="G116" s="1" t="s">
        <v>1773</v>
      </c>
      <c r="H116" s="1" t="s">
        <v>1853</v>
      </c>
      <c r="I116" s="2">
        <v>5</v>
      </c>
      <c r="J116" s="4">
        <f t="shared" si="1"/>
        <v>0.2</v>
      </c>
    </row>
    <row r="117" s="1" customFormat="1" spans="1:10">
      <c r="A117" s="1" t="s">
        <v>2036</v>
      </c>
      <c r="B117" s="1" t="s">
        <v>401</v>
      </c>
      <c r="C117" s="1">
        <v>2013</v>
      </c>
      <c r="D117" s="1" t="s">
        <v>2040</v>
      </c>
      <c r="E117" s="1" t="s">
        <v>1903</v>
      </c>
      <c r="F117" s="1" t="s">
        <v>1773</v>
      </c>
      <c r="G117" s="1" t="s">
        <v>1773</v>
      </c>
      <c r="H117" s="1" t="s">
        <v>1853</v>
      </c>
      <c r="I117" s="2">
        <v>5</v>
      </c>
      <c r="J117" s="4">
        <f t="shared" si="1"/>
        <v>0.2</v>
      </c>
    </row>
    <row r="118" s="1" customFormat="1" spans="1:10">
      <c r="A118" s="1" t="s">
        <v>2036</v>
      </c>
      <c r="B118" s="1" t="s">
        <v>401</v>
      </c>
      <c r="C118" s="1">
        <v>2013</v>
      </c>
      <c r="D118" s="1" t="s">
        <v>2014</v>
      </c>
      <c r="E118" s="1" t="s">
        <v>1905</v>
      </c>
      <c r="F118" s="1" t="s">
        <v>1759</v>
      </c>
      <c r="G118" s="1" t="s">
        <v>1759</v>
      </c>
      <c r="H118" s="1" t="s">
        <v>1857</v>
      </c>
      <c r="I118" s="2">
        <v>5</v>
      </c>
      <c r="J118" s="4">
        <f t="shared" si="1"/>
        <v>0.2</v>
      </c>
    </row>
    <row r="119" s="1" customFormat="1" spans="1:10">
      <c r="A119" s="1" t="s">
        <v>2041</v>
      </c>
      <c r="B119" s="1" t="s">
        <v>158</v>
      </c>
      <c r="C119" s="1">
        <v>2013</v>
      </c>
      <c r="D119" s="1" t="s">
        <v>2042</v>
      </c>
      <c r="E119" s="1" t="s">
        <v>1900</v>
      </c>
      <c r="F119" s="1" t="s">
        <v>1712</v>
      </c>
      <c r="G119" s="1" t="s">
        <v>1712</v>
      </c>
      <c r="H119" s="1" t="s">
        <v>1866</v>
      </c>
      <c r="I119" s="2">
        <v>4</v>
      </c>
      <c r="J119" s="4">
        <f t="shared" si="1"/>
        <v>0.25</v>
      </c>
    </row>
    <row r="120" s="1" customFormat="1" spans="1:10">
      <c r="A120" s="1" t="s">
        <v>2041</v>
      </c>
      <c r="B120" s="1" t="s">
        <v>158</v>
      </c>
      <c r="C120" s="1">
        <v>2013</v>
      </c>
      <c r="D120" s="1" t="s">
        <v>2043</v>
      </c>
      <c r="E120" s="1" t="s">
        <v>1903</v>
      </c>
      <c r="F120" s="1" t="s">
        <v>1712</v>
      </c>
      <c r="G120" s="1" t="s">
        <v>1712</v>
      </c>
      <c r="H120" s="1" t="s">
        <v>1866</v>
      </c>
      <c r="I120" s="2">
        <v>4</v>
      </c>
      <c r="J120" s="4">
        <f t="shared" si="1"/>
        <v>0.25</v>
      </c>
    </row>
    <row r="121" s="1" customFormat="1" spans="1:10">
      <c r="A121" s="1" t="s">
        <v>2041</v>
      </c>
      <c r="B121" s="1" t="s">
        <v>158</v>
      </c>
      <c r="C121" s="1">
        <v>2013</v>
      </c>
      <c r="D121" s="1" t="s">
        <v>2044</v>
      </c>
      <c r="E121" s="1" t="s">
        <v>1903</v>
      </c>
      <c r="F121" s="1" t="s">
        <v>1712</v>
      </c>
      <c r="G121" s="1" t="s">
        <v>1712</v>
      </c>
      <c r="H121" s="1" t="s">
        <v>1866</v>
      </c>
      <c r="I121" s="2">
        <v>4</v>
      </c>
      <c r="J121" s="4">
        <f t="shared" si="1"/>
        <v>0.25</v>
      </c>
    </row>
    <row r="122" s="1" customFormat="1" spans="1:10">
      <c r="A122" s="1" t="s">
        <v>2041</v>
      </c>
      <c r="B122" s="1" t="s">
        <v>158</v>
      </c>
      <c r="C122" s="1">
        <v>2013</v>
      </c>
      <c r="D122" s="1" t="s">
        <v>2045</v>
      </c>
      <c r="E122" s="1" t="s">
        <v>1905</v>
      </c>
      <c r="F122" s="1" t="s">
        <v>1712</v>
      </c>
      <c r="G122" s="1" t="s">
        <v>1712</v>
      </c>
      <c r="H122" s="1" t="s">
        <v>1866</v>
      </c>
      <c r="I122" s="2">
        <v>4</v>
      </c>
      <c r="J122" s="4">
        <f t="shared" si="1"/>
        <v>0.25</v>
      </c>
    </row>
    <row r="123" s="1" customFormat="1" spans="1:10">
      <c r="A123" s="1" t="s">
        <v>2046</v>
      </c>
      <c r="B123" s="1" t="s">
        <v>681</v>
      </c>
      <c r="C123" s="1">
        <v>2013</v>
      </c>
      <c r="D123" s="1" t="s">
        <v>2047</v>
      </c>
      <c r="E123" s="1" t="s">
        <v>1900</v>
      </c>
      <c r="F123" s="1" t="s">
        <v>2048</v>
      </c>
      <c r="G123" s="1" t="s">
        <v>1720</v>
      </c>
      <c r="H123" s="1" t="s">
        <v>1853</v>
      </c>
      <c r="I123" s="2">
        <v>4</v>
      </c>
      <c r="J123" s="4">
        <f t="shared" si="1"/>
        <v>0.25</v>
      </c>
    </row>
    <row r="124" s="1" customFormat="1" spans="1:10">
      <c r="A124" s="1" t="s">
        <v>2046</v>
      </c>
      <c r="B124" s="1" t="s">
        <v>681</v>
      </c>
      <c r="C124" s="1">
        <v>2013</v>
      </c>
      <c r="D124" s="1" t="s">
        <v>2049</v>
      </c>
      <c r="E124" s="1" t="s">
        <v>1903</v>
      </c>
      <c r="F124" s="1" t="s">
        <v>2048</v>
      </c>
      <c r="G124" s="1" t="s">
        <v>1720</v>
      </c>
      <c r="H124" s="1" t="s">
        <v>1853</v>
      </c>
      <c r="I124" s="2">
        <v>4</v>
      </c>
      <c r="J124" s="4">
        <f t="shared" si="1"/>
        <v>0.25</v>
      </c>
    </row>
    <row r="125" s="1" customFormat="1" spans="1:10">
      <c r="A125" s="1" t="s">
        <v>2046</v>
      </c>
      <c r="B125" s="1" t="s">
        <v>681</v>
      </c>
      <c r="C125" s="1">
        <v>2013</v>
      </c>
      <c r="D125" s="1" t="s">
        <v>2050</v>
      </c>
      <c r="E125" s="1" t="s">
        <v>1903</v>
      </c>
      <c r="F125" s="1" t="s">
        <v>2048</v>
      </c>
      <c r="G125" s="1" t="s">
        <v>1720</v>
      </c>
      <c r="H125" s="1" t="s">
        <v>1853</v>
      </c>
      <c r="I125" s="2">
        <v>4</v>
      </c>
      <c r="J125" s="4">
        <f t="shared" si="1"/>
        <v>0.25</v>
      </c>
    </row>
    <row r="126" s="1" customFormat="1" spans="1:10">
      <c r="A126" s="1" t="s">
        <v>2046</v>
      </c>
      <c r="B126" s="1" t="s">
        <v>681</v>
      </c>
      <c r="C126" s="1">
        <v>2013</v>
      </c>
      <c r="D126" s="1" t="s">
        <v>2051</v>
      </c>
      <c r="E126" s="1" t="s">
        <v>1905</v>
      </c>
      <c r="F126" s="1" t="s">
        <v>2048</v>
      </c>
      <c r="G126" s="1" t="s">
        <v>1720</v>
      </c>
      <c r="H126" s="1" t="s">
        <v>1853</v>
      </c>
      <c r="I126" s="2">
        <v>4</v>
      </c>
      <c r="J126" s="4">
        <f t="shared" si="1"/>
        <v>0.25</v>
      </c>
    </row>
    <row r="127" s="1" customFormat="1" spans="1:10">
      <c r="A127" s="1" t="s">
        <v>2052</v>
      </c>
      <c r="B127" s="1" t="s">
        <v>362</v>
      </c>
      <c r="C127" s="1">
        <v>2013</v>
      </c>
      <c r="D127" s="1" t="s">
        <v>2053</v>
      </c>
      <c r="E127" s="1" t="s">
        <v>1900</v>
      </c>
      <c r="F127" s="1" t="s">
        <v>1757</v>
      </c>
      <c r="G127" s="1" t="s">
        <v>1757</v>
      </c>
      <c r="H127" s="1" t="s">
        <v>1856</v>
      </c>
      <c r="I127" s="2">
        <v>4</v>
      </c>
      <c r="J127" s="4">
        <f t="shared" si="1"/>
        <v>0.25</v>
      </c>
    </row>
    <row r="128" s="1" customFormat="1" spans="1:10">
      <c r="A128" s="1" t="s">
        <v>2052</v>
      </c>
      <c r="B128" s="1" t="s">
        <v>362</v>
      </c>
      <c r="C128" s="1">
        <v>2013</v>
      </c>
      <c r="D128" s="1" t="s">
        <v>2054</v>
      </c>
      <c r="E128" s="1" t="s">
        <v>1903</v>
      </c>
      <c r="F128" s="1" t="s">
        <v>1757</v>
      </c>
      <c r="G128" s="1" t="s">
        <v>1757</v>
      </c>
      <c r="H128" s="1" t="s">
        <v>1856</v>
      </c>
      <c r="I128" s="2">
        <v>4</v>
      </c>
      <c r="J128" s="4">
        <f t="shared" si="1"/>
        <v>0.25</v>
      </c>
    </row>
    <row r="129" s="1" customFormat="1" spans="1:10">
      <c r="A129" s="1" t="s">
        <v>2052</v>
      </c>
      <c r="B129" s="1" t="s">
        <v>362</v>
      </c>
      <c r="C129" s="1">
        <v>2013</v>
      </c>
      <c r="D129" s="1" t="s">
        <v>2055</v>
      </c>
      <c r="E129" s="1" t="s">
        <v>1903</v>
      </c>
      <c r="F129" s="1" t="s">
        <v>1757</v>
      </c>
      <c r="G129" s="1" t="s">
        <v>1757</v>
      </c>
      <c r="H129" s="1" t="s">
        <v>1856</v>
      </c>
      <c r="I129" s="2">
        <v>4</v>
      </c>
      <c r="J129" s="4">
        <f t="shared" si="1"/>
        <v>0.25</v>
      </c>
    </row>
    <row r="130" s="1" customFormat="1" spans="1:10">
      <c r="A130" s="1" t="s">
        <v>2052</v>
      </c>
      <c r="B130" s="1" t="s">
        <v>362</v>
      </c>
      <c r="C130" s="1">
        <v>2013</v>
      </c>
      <c r="D130" s="1" t="s">
        <v>2056</v>
      </c>
      <c r="E130" s="1" t="s">
        <v>1905</v>
      </c>
      <c r="F130" s="1" t="s">
        <v>1835</v>
      </c>
      <c r="G130" s="1" t="s">
        <v>1835</v>
      </c>
      <c r="H130" s="1" t="s">
        <v>1864</v>
      </c>
      <c r="I130" s="2">
        <v>4</v>
      </c>
      <c r="J130" s="4">
        <f t="shared" ref="J130:J193" si="2">1/I130</f>
        <v>0.25</v>
      </c>
    </row>
    <row r="131" s="1" customFormat="1" spans="1:10">
      <c r="A131" s="1" t="s">
        <v>2057</v>
      </c>
      <c r="B131" s="1" t="s">
        <v>841</v>
      </c>
      <c r="C131" s="1">
        <v>2013</v>
      </c>
      <c r="D131" s="1" t="s">
        <v>2058</v>
      </c>
      <c r="E131" s="1" t="s">
        <v>1900</v>
      </c>
      <c r="F131" s="1" t="s">
        <v>1748</v>
      </c>
      <c r="G131" s="1" t="s">
        <v>1748</v>
      </c>
      <c r="H131" s="1" t="s">
        <v>1854</v>
      </c>
      <c r="I131" s="2">
        <v>3</v>
      </c>
      <c r="J131" s="4">
        <f t="shared" si="2"/>
        <v>0.333333333333333</v>
      </c>
    </row>
    <row r="132" s="1" customFormat="1" spans="1:10">
      <c r="A132" s="1" t="s">
        <v>2057</v>
      </c>
      <c r="B132" s="1" t="s">
        <v>841</v>
      </c>
      <c r="C132" s="1">
        <v>2013</v>
      </c>
      <c r="D132" s="1" t="s">
        <v>2059</v>
      </c>
      <c r="E132" s="1" t="s">
        <v>1903</v>
      </c>
      <c r="F132" s="1" t="s">
        <v>1748</v>
      </c>
      <c r="G132" s="1" t="s">
        <v>1748</v>
      </c>
      <c r="H132" s="1" t="s">
        <v>1854</v>
      </c>
      <c r="I132" s="2">
        <v>3</v>
      </c>
      <c r="J132" s="4">
        <f t="shared" si="2"/>
        <v>0.333333333333333</v>
      </c>
    </row>
    <row r="133" s="1" customFormat="1" spans="1:10">
      <c r="A133" s="1" t="s">
        <v>2057</v>
      </c>
      <c r="B133" s="1" t="s">
        <v>841</v>
      </c>
      <c r="C133" s="1">
        <v>2013</v>
      </c>
      <c r="D133" s="1" t="s">
        <v>2060</v>
      </c>
      <c r="E133" s="1" t="s">
        <v>1905</v>
      </c>
      <c r="F133" s="1" t="s">
        <v>1748</v>
      </c>
      <c r="G133" s="1" t="s">
        <v>1748</v>
      </c>
      <c r="H133" s="1" t="s">
        <v>1854</v>
      </c>
      <c r="I133" s="2">
        <v>3</v>
      </c>
      <c r="J133" s="4">
        <f t="shared" si="2"/>
        <v>0.333333333333333</v>
      </c>
    </row>
    <row r="134" s="1" customFormat="1" spans="1:10">
      <c r="A134" s="1" t="s">
        <v>2061</v>
      </c>
      <c r="B134" s="1" t="s">
        <v>370</v>
      </c>
      <c r="C134" s="1">
        <v>2013</v>
      </c>
      <c r="D134" s="1" t="s">
        <v>2062</v>
      </c>
      <c r="E134" s="1" t="s">
        <v>1900</v>
      </c>
      <c r="F134" s="1" t="s">
        <v>1777</v>
      </c>
      <c r="G134" s="1" t="s">
        <v>1777</v>
      </c>
      <c r="H134" s="1" t="s">
        <v>1870</v>
      </c>
      <c r="I134" s="2">
        <v>6</v>
      </c>
      <c r="J134" s="4">
        <f t="shared" si="2"/>
        <v>0.166666666666667</v>
      </c>
    </row>
    <row r="135" s="1" customFormat="1" spans="1:10">
      <c r="A135" s="1" t="s">
        <v>2061</v>
      </c>
      <c r="B135" s="1" t="s">
        <v>370</v>
      </c>
      <c r="C135" s="1">
        <v>2013</v>
      </c>
      <c r="D135" s="1" t="s">
        <v>2063</v>
      </c>
      <c r="E135" s="1" t="s">
        <v>1903</v>
      </c>
      <c r="F135" s="1" t="s">
        <v>1777</v>
      </c>
      <c r="G135" s="1" t="s">
        <v>1777</v>
      </c>
      <c r="H135" s="1" t="s">
        <v>1870</v>
      </c>
      <c r="I135" s="2">
        <v>6</v>
      </c>
      <c r="J135" s="4">
        <f t="shared" si="2"/>
        <v>0.166666666666667</v>
      </c>
    </row>
    <row r="136" s="1" customFormat="1" spans="1:10">
      <c r="A136" s="1" t="s">
        <v>2061</v>
      </c>
      <c r="B136" s="1" t="s">
        <v>370</v>
      </c>
      <c r="C136" s="1">
        <v>2013</v>
      </c>
      <c r="D136" s="1" t="s">
        <v>2064</v>
      </c>
      <c r="E136" s="1" t="s">
        <v>1903</v>
      </c>
      <c r="F136" s="1" t="s">
        <v>1777</v>
      </c>
      <c r="G136" s="1" t="s">
        <v>1777</v>
      </c>
      <c r="H136" s="1" t="s">
        <v>1870</v>
      </c>
      <c r="I136" s="2">
        <v>6</v>
      </c>
      <c r="J136" s="4">
        <f t="shared" si="2"/>
        <v>0.166666666666667</v>
      </c>
    </row>
    <row r="137" s="1" customFormat="1" spans="1:10">
      <c r="A137" s="1" t="s">
        <v>2061</v>
      </c>
      <c r="B137" s="1" t="s">
        <v>370</v>
      </c>
      <c r="C137" s="1">
        <v>2013</v>
      </c>
      <c r="D137" s="1" t="s">
        <v>1998</v>
      </c>
      <c r="E137" s="1" t="s">
        <v>1903</v>
      </c>
      <c r="F137" s="1" t="s">
        <v>1957</v>
      </c>
      <c r="G137" s="1" t="s">
        <v>1804</v>
      </c>
      <c r="H137" s="1" t="s">
        <v>1889</v>
      </c>
      <c r="I137" s="2">
        <v>6</v>
      </c>
      <c r="J137" s="4">
        <f t="shared" si="2"/>
        <v>0.166666666666667</v>
      </c>
    </row>
    <row r="138" s="1" customFormat="1" spans="1:10">
      <c r="A138" s="1" t="s">
        <v>2061</v>
      </c>
      <c r="B138" s="1" t="s">
        <v>370</v>
      </c>
      <c r="C138" s="1">
        <v>2013</v>
      </c>
      <c r="D138" s="1" t="s">
        <v>2065</v>
      </c>
      <c r="E138" s="1" t="s">
        <v>1903</v>
      </c>
      <c r="F138" s="1" t="s">
        <v>1845</v>
      </c>
      <c r="G138" s="1" t="s">
        <v>1845</v>
      </c>
      <c r="H138" s="1" t="s">
        <v>1859</v>
      </c>
      <c r="I138" s="2">
        <v>6</v>
      </c>
      <c r="J138" s="4">
        <f t="shared" si="2"/>
        <v>0.166666666666667</v>
      </c>
    </row>
    <row r="139" s="1" customFormat="1" spans="1:10">
      <c r="A139" s="1" t="s">
        <v>2061</v>
      </c>
      <c r="B139" s="1" t="s">
        <v>370</v>
      </c>
      <c r="C139" s="1">
        <v>2013</v>
      </c>
      <c r="D139" s="1" t="s">
        <v>2066</v>
      </c>
      <c r="E139" s="1" t="s">
        <v>1905</v>
      </c>
      <c r="F139" s="1" t="s">
        <v>1957</v>
      </c>
      <c r="G139" s="1" t="s">
        <v>1804</v>
      </c>
      <c r="H139" s="1" t="s">
        <v>1859</v>
      </c>
      <c r="I139" s="2">
        <v>6</v>
      </c>
      <c r="J139" s="4">
        <f t="shared" si="2"/>
        <v>0.166666666666667</v>
      </c>
    </row>
    <row r="140" s="1" customFormat="1" spans="1:10">
      <c r="A140" s="1" t="s">
        <v>2067</v>
      </c>
      <c r="B140" s="1" t="s">
        <v>22</v>
      </c>
      <c r="C140" s="1">
        <v>2014</v>
      </c>
      <c r="D140" s="1" t="s">
        <v>2068</v>
      </c>
      <c r="E140" s="1" t="s">
        <v>1900</v>
      </c>
      <c r="F140" s="1" t="s">
        <v>1705</v>
      </c>
      <c r="G140" s="1" t="s">
        <v>1705</v>
      </c>
      <c r="H140" s="1" t="s">
        <v>1858</v>
      </c>
      <c r="I140" s="2">
        <v>4</v>
      </c>
      <c r="J140" s="4">
        <f t="shared" si="2"/>
        <v>0.25</v>
      </c>
    </row>
    <row r="141" s="1" customFormat="1" spans="1:10">
      <c r="A141" s="1" t="s">
        <v>2067</v>
      </c>
      <c r="B141" s="1" t="s">
        <v>22</v>
      </c>
      <c r="C141" s="1">
        <v>2014</v>
      </c>
      <c r="D141" s="1" t="s">
        <v>2069</v>
      </c>
      <c r="E141" s="1" t="s">
        <v>1903</v>
      </c>
      <c r="F141" s="1" t="s">
        <v>1705</v>
      </c>
      <c r="G141" s="1" t="s">
        <v>1705</v>
      </c>
      <c r="H141" s="1" t="s">
        <v>1858</v>
      </c>
      <c r="I141" s="2">
        <v>4</v>
      </c>
      <c r="J141" s="4">
        <f t="shared" si="2"/>
        <v>0.25</v>
      </c>
    </row>
    <row r="142" s="1" customFormat="1" spans="1:10">
      <c r="A142" s="1" t="s">
        <v>2067</v>
      </c>
      <c r="B142" s="1" t="s">
        <v>22</v>
      </c>
      <c r="C142" s="1">
        <v>2014</v>
      </c>
      <c r="D142" s="1" t="s">
        <v>1924</v>
      </c>
      <c r="E142" s="1" t="s">
        <v>1903</v>
      </c>
      <c r="F142" s="1" t="s">
        <v>1705</v>
      </c>
      <c r="G142" s="1" t="s">
        <v>1705</v>
      </c>
      <c r="H142" s="1" t="s">
        <v>1858</v>
      </c>
      <c r="I142" s="2">
        <v>4</v>
      </c>
      <c r="J142" s="4">
        <f t="shared" si="2"/>
        <v>0.25</v>
      </c>
    </row>
    <row r="143" s="1" customFormat="1" spans="1:10">
      <c r="A143" s="1" t="s">
        <v>2067</v>
      </c>
      <c r="B143" s="1" t="s">
        <v>22</v>
      </c>
      <c r="C143" s="1">
        <v>2014</v>
      </c>
      <c r="D143" s="1" t="s">
        <v>2070</v>
      </c>
      <c r="E143" s="1" t="s">
        <v>1905</v>
      </c>
      <c r="F143" s="1" t="s">
        <v>1705</v>
      </c>
      <c r="G143" s="1" t="s">
        <v>1705</v>
      </c>
      <c r="H143" s="1" t="s">
        <v>1858</v>
      </c>
      <c r="I143" s="2">
        <v>4</v>
      </c>
      <c r="J143" s="4">
        <f t="shared" si="2"/>
        <v>0.25</v>
      </c>
    </row>
    <row r="144" s="1" customFormat="1" spans="1:10">
      <c r="A144" s="1" t="s">
        <v>2071</v>
      </c>
      <c r="B144" s="1" t="s">
        <v>318</v>
      </c>
      <c r="C144" s="1">
        <v>2013</v>
      </c>
      <c r="D144" s="1" t="s">
        <v>2072</v>
      </c>
      <c r="E144" s="1" t="s">
        <v>1900</v>
      </c>
      <c r="F144" s="1" t="s">
        <v>1822</v>
      </c>
      <c r="G144" s="1" t="s">
        <v>1822</v>
      </c>
      <c r="H144" s="1" t="s">
        <v>1869</v>
      </c>
      <c r="I144" s="2">
        <v>4</v>
      </c>
      <c r="J144" s="4">
        <f t="shared" si="2"/>
        <v>0.25</v>
      </c>
    </row>
    <row r="145" s="1" customFormat="1" spans="1:10">
      <c r="A145" s="1" t="s">
        <v>2071</v>
      </c>
      <c r="B145" s="1" t="s">
        <v>318</v>
      </c>
      <c r="C145" s="1">
        <v>2013</v>
      </c>
      <c r="D145" s="1" t="s">
        <v>2073</v>
      </c>
      <c r="E145" s="1" t="s">
        <v>1903</v>
      </c>
      <c r="F145" s="1" t="s">
        <v>1829</v>
      </c>
      <c r="G145" s="1" t="s">
        <v>1829</v>
      </c>
      <c r="H145" s="1" t="s">
        <v>1857</v>
      </c>
      <c r="I145" s="2">
        <v>4</v>
      </c>
      <c r="J145" s="4">
        <f t="shared" si="2"/>
        <v>0.25</v>
      </c>
    </row>
    <row r="146" s="1" customFormat="1" spans="1:10">
      <c r="A146" s="1" t="s">
        <v>2071</v>
      </c>
      <c r="B146" s="1" t="s">
        <v>318</v>
      </c>
      <c r="C146" s="1">
        <v>2013</v>
      </c>
      <c r="D146" s="1" t="s">
        <v>1997</v>
      </c>
      <c r="E146" s="1" t="s">
        <v>1903</v>
      </c>
      <c r="F146" s="1" t="s">
        <v>2074</v>
      </c>
      <c r="G146" s="1" t="s">
        <v>1774</v>
      </c>
      <c r="H146" s="1" t="s">
        <v>1862</v>
      </c>
      <c r="I146" s="2">
        <v>4</v>
      </c>
      <c r="J146" s="4">
        <f t="shared" si="2"/>
        <v>0.25</v>
      </c>
    </row>
    <row r="147" s="1" customFormat="1" spans="1:10">
      <c r="A147" s="1" t="s">
        <v>2071</v>
      </c>
      <c r="B147" s="1" t="s">
        <v>318</v>
      </c>
      <c r="C147" s="1">
        <v>2013</v>
      </c>
      <c r="D147" s="1" t="s">
        <v>2075</v>
      </c>
      <c r="E147" s="1" t="s">
        <v>1905</v>
      </c>
      <c r="F147" s="1" t="s">
        <v>1707</v>
      </c>
      <c r="G147" s="1" t="s">
        <v>1707</v>
      </c>
      <c r="H147" s="1" t="s">
        <v>1859</v>
      </c>
      <c r="I147" s="2">
        <v>4</v>
      </c>
      <c r="J147" s="4">
        <f t="shared" si="2"/>
        <v>0.25</v>
      </c>
    </row>
    <row r="148" s="1" customFormat="1" spans="1:10">
      <c r="A148" s="1" t="s">
        <v>2076</v>
      </c>
      <c r="B148" s="1" t="s">
        <v>78</v>
      </c>
      <c r="C148" s="1">
        <v>2014</v>
      </c>
      <c r="D148" s="1" t="s">
        <v>2077</v>
      </c>
      <c r="E148" s="1" t="s">
        <v>1900</v>
      </c>
      <c r="F148" s="1" t="s">
        <v>1716</v>
      </c>
      <c r="G148" s="1" t="s">
        <v>1716</v>
      </c>
      <c r="H148" s="1" t="s">
        <v>1863</v>
      </c>
      <c r="I148" s="2">
        <v>3</v>
      </c>
      <c r="J148" s="4">
        <f t="shared" si="2"/>
        <v>0.333333333333333</v>
      </c>
    </row>
    <row r="149" s="1" customFormat="1" spans="1:10">
      <c r="A149" s="1" t="s">
        <v>2076</v>
      </c>
      <c r="B149" s="1" t="s">
        <v>78</v>
      </c>
      <c r="C149" s="1">
        <v>2014</v>
      </c>
      <c r="D149" s="1" t="s">
        <v>2078</v>
      </c>
      <c r="E149" s="1" t="s">
        <v>1903</v>
      </c>
      <c r="F149" s="1" t="s">
        <v>1716</v>
      </c>
      <c r="G149" s="1" t="s">
        <v>1716</v>
      </c>
      <c r="H149" s="1" t="s">
        <v>1863</v>
      </c>
      <c r="I149" s="2">
        <v>3</v>
      </c>
      <c r="J149" s="4">
        <f t="shared" si="2"/>
        <v>0.333333333333333</v>
      </c>
    </row>
    <row r="150" s="1" customFormat="1" spans="1:10">
      <c r="A150" s="1" t="s">
        <v>2076</v>
      </c>
      <c r="B150" s="1" t="s">
        <v>78</v>
      </c>
      <c r="C150" s="1">
        <v>2014</v>
      </c>
      <c r="D150" s="1" t="s">
        <v>2079</v>
      </c>
      <c r="E150" s="1" t="s">
        <v>1905</v>
      </c>
      <c r="F150" s="1" t="s">
        <v>1716</v>
      </c>
      <c r="G150" s="1" t="s">
        <v>1716</v>
      </c>
      <c r="H150" s="1" t="s">
        <v>1863</v>
      </c>
      <c r="I150" s="2">
        <v>3</v>
      </c>
      <c r="J150" s="4">
        <f t="shared" si="2"/>
        <v>0.333333333333333</v>
      </c>
    </row>
    <row r="151" s="1" customFormat="1" spans="1:10">
      <c r="A151" s="1" t="s">
        <v>2080</v>
      </c>
      <c r="B151" s="1" t="s">
        <v>24</v>
      </c>
      <c r="C151" s="1">
        <v>2014</v>
      </c>
      <c r="D151" s="1" t="s">
        <v>2081</v>
      </c>
      <c r="E151" s="1" t="s">
        <v>1900</v>
      </c>
      <c r="F151" s="1" t="s">
        <v>2082</v>
      </c>
      <c r="G151" s="1" t="s">
        <v>1741</v>
      </c>
      <c r="H151" s="1" t="s">
        <v>1854</v>
      </c>
      <c r="I151" s="2">
        <v>2</v>
      </c>
      <c r="J151" s="4">
        <f t="shared" si="2"/>
        <v>0.5</v>
      </c>
    </row>
    <row r="152" s="1" customFormat="1" spans="1:10">
      <c r="A152" s="1" t="s">
        <v>2080</v>
      </c>
      <c r="B152" s="1" t="s">
        <v>24</v>
      </c>
      <c r="C152" s="1">
        <v>2014</v>
      </c>
      <c r="D152" s="1" t="s">
        <v>2083</v>
      </c>
      <c r="E152" s="1" t="s">
        <v>1905</v>
      </c>
      <c r="F152" s="1" t="s">
        <v>2082</v>
      </c>
      <c r="G152" s="1" t="s">
        <v>1741</v>
      </c>
      <c r="H152" s="1" t="s">
        <v>1854</v>
      </c>
      <c r="I152" s="2">
        <v>2</v>
      </c>
      <c r="J152" s="4">
        <f t="shared" si="2"/>
        <v>0.5</v>
      </c>
    </row>
    <row r="153" s="1" customFormat="1" spans="1:10">
      <c r="A153" s="1" t="s">
        <v>2084</v>
      </c>
      <c r="B153" s="1" t="s">
        <v>803</v>
      </c>
      <c r="C153" s="1">
        <v>2014</v>
      </c>
      <c r="D153" s="1" t="s">
        <v>2085</v>
      </c>
      <c r="E153" s="1" t="s">
        <v>1900</v>
      </c>
      <c r="F153" s="1" t="s">
        <v>1743</v>
      </c>
      <c r="G153" s="1" t="s">
        <v>1743</v>
      </c>
      <c r="H153" s="1" t="s">
        <v>1857</v>
      </c>
      <c r="I153" s="2">
        <v>2</v>
      </c>
      <c r="J153" s="4">
        <f t="shared" si="2"/>
        <v>0.5</v>
      </c>
    </row>
    <row r="154" s="1" customFormat="1" spans="1:10">
      <c r="A154" s="1" t="s">
        <v>2084</v>
      </c>
      <c r="B154" s="1" t="s">
        <v>803</v>
      </c>
      <c r="C154" s="1">
        <v>2014</v>
      </c>
      <c r="D154" s="1" t="s">
        <v>2086</v>
      </c>
      <c r="E154" s="1" t="s">
        <v>1905</v>
      </c>
      <c r="F154" s="1" t="s">
        <v>1743</v>
      </c>
      <c r="G154" s="1" t="s">
        <v>1743</v>
      </c>
      <c r="H154" s="1" t="s">
        <v>1857</v>
      </c>
      <c r="I154" s="2">
        <v>2</v>
      </c>
      <c r="J154" s="4">
        <f t="shared" si="2"/>
        <v>0.5</v>
      </c>
    </row>
    <row r="155" s="1" customFormat="1" spans="1:10">
      <c r="A155" s="1" t="s">
        <v>2087</v>
      </c>
      <c r="B155" s="1" t="s">
        <v>614</v>
      </c>
      <c r="C155" s="1">
        <v>2014</v>
      </c>
      <c r="D155" s="1" t="s">
        <v>2088</v>
      </c>
      <c r="E155" s="1" t="s">
        <v>1900</v>
      </c>
      <c r="F155" s="1" t="s">
        <v>1738</v>
      </c>
      <c r="G155" s="1" t="s">
        <v>1738</v>
      </c>
      <c r="H155" s="1" t="s">
        <v>1855</v>
      </c>
      <c r="I155" s="2">
        <v>2</v>
      </c>
      <c r="J155" s="4">
        <f t="shared" si="2"/>
        <v>0.5</v>
      </c>
    </row>
    <row r="156" s="1" customFormat="1" spans="1:10">
      <c r="A156" s="1" t="s">
        <v>2087</v>
      </c>
      <c r="B156" s="1" t="s">
        <v>614</v>
      </c>
      <c r="C156" s="1">
        <v>2014</v>
      </c>
      <c r="D156" s="1" t="s">
        <v>2089</v>
      </c>
      <c r="E156" s="1" t="s">
        <v>1905</v>
      </c>
      <c r="F156" s="1" t="s">
        <v>1738</v>
      </c>
      <c r="G156" s="1" t="s">
        <v>1738</v>
      </c>
      <c r="H156" s="1" t="s">
        <v>1855</v>
      </c>
      <c r="I156" s="2">
        <v>2</v>
      </c>
      <c r="J156" s="4">
        <f t="shared" si="2"/>
        <v>0.5</v>
      </c>
    </row>
    <row r="157" s="1" customFormat="1" spans="1:10">
      <c r="A157" s="1" t="s">
        <v>2090</v>
      </c>
      <c r="B157" s="1" t="s">
        <v>368</v>
      </c>
      <c r="C157" s="1">
        <v>2014</v>
      </c>
      <c r="D157" s="1" t="s">
        <v>2091</v>
      </c>
      <c r="E157" s="1" t="s">
        <v>1900</v>
      </c>
      <c r="F157" s="1" t="s">
        <v>1718</v>
      </c>
      <c r="G157" s="1" t="s">
        <v>1718</v>
      </c>
      <c r="H157" s="1" t="s">
        <v>1872</v>
      </c>
      <c r="I157" s="2">
        <v>4</v>
      </c>
      <c r="J157" s="4">
        <f t="shared" si="2"/>
        <v>0.25</v>
      </c>
    </row>
    <row r="158" s="1" customFormat="1" spans="1:10">
      <c r="A158" s="1" t="s">
        <v>2090</v>
      </c>
      <c r="B158" s="1" t="s">
        <v>368</v>
      </c>
      <c r="C158" s="1">
        <v>2014</v>
      </c>
      <c r="D158" s="1" t="s">
        <v>2092</v>
      </c>
      <c r="E158" s="1" t="s">
        <v>1903</v>
      </c>
      <c r="F158" s="1" t="s">
        <v>1957</v>
      </c>
      <c r="G158" s="1" t="s">
        <v>1830</v>
      </c>
      <c r="H158" s="1" t="s">
        <v>1865</v>
      </c>
      <c r="I158" s="2">
        <v>4</v>
      </c>
      <c r="J158" s="4">
        <f t="shared" si="2"/>
        <v>0.25</v>
      </c>
    </row>
    <row r="159" s="1" customFormat="1" spans="1:10">
      <c r="A159" s="1" t="s">
        <v>2090</v>
      </c>
      <c r="B159" s="1" t="s">
        <v>368</v>
      </c>
      <c r="C159" s="1">
        <v>2014</v>
      </c>
      <c r="D159" s="1" t="s">
        <v>2093</v>
      </c>
      <c r="E159" s="1" t="s">
        <v>1903</v>
      </c>
      <c r="F159" s="1" t="s">
        <v>1783</v>
      </c>
      <c r="G159" s="1" t="s">
        <v>1783</v>
      </c>
      <c r="H159" s="1" t="s">
        <v>1865</v>
      </c>
      <c r="I159" s="2">
        <v>4</v>
      </c>
      <c r="J159" s="4">
        <f t="shared" si="2"/>
        <v>0.25</v>
      </c>
    </row>
    <row r="160" s="1" customFormat="1" spans="1:10">
      <c r="A160" s="1" t="s">
        <v>2090</v>
      </c>
      <c r="B160" s="1" t="s">
        <v>368</v>
      </c>
      <c r="C160" s="1">
        <v>2014</v>
      </c>
      <c r="D160" s="1" t="s">
        <v>2094</v>
      </c>
      <c r="E160" s="1" t="s">
        <v>1905</v>
      </c>
      <c r="F160" s="1" t="s">
        <v>1783</v>
      </c>
      <c r="G160" s="1" t="s">
        <v>1783</v>
      </c>
      <c r="H160" s="1" t="s">
        <v>1865</v>
      </c>
      <c r="I160" s="2">
        <v>4</v>
      </c>
      <c r="J160" s="4">
        <f t="shared" si="2"/>
        <v>0.25</v>
      </c>
    </row>
    <row r="161" s="1" customFormat="1" spans="1:10">
      <c r="A161" s="1" t="s">
        <v>2095</v>
      </c>
      <c r="B161" s="1" t="s">
        <v>374</v>
      </c>
      <c r="C161" s="1">
        <v>2013</v>
      </c>
      <c r="D161" s="1" t="s">
        <v>2096</v>
      </c>
      <c r="E161" s="1" t="s">
        <v>1900</v>
      </c>
      <c r="F161" s="1" t="s">
        <v>1763</v>
      </c>
      <c r="G161" s="1" t="s">
        <v>1763</v>
      </c>
      <c r="H161" s="1" t="s">
        <v>1884</v>
      </c>
      <c r="I161" s="2">
        <v>3</v>
      </c>
      <c r="J161" s="4">
        <f t="shared" si="2"/>
        <v>0.333333333333333</v>
      </c>
    </row>
    <row r="162" s="1" customFormat="1" spans="1:10">
      <c r="A162" s="1" t="s">
        <v>2095</v>
      </c>
      <c r="B162" s="1" t="s">
        <v>374</v>
      </c>
      <c r="C162" s="1">
        <v>2013</v>
      </c>
      <c r="D162" s="1" t="s">
        <v>2097</v>
      </c>
      <c r="E162" s="1" t="s">
        <v>1903</v>
      </c>
      <c r="F162" s="1" t="s">
        <v>1769</v>
      </c>
      <c r="G162" s="1" t="s">
        <v>1769</v>
      </c>
      <c r="H162" s="1" t="s">
        <v>1854</v>
      </c>
      <c r="I162" s="2">
        <v>3</v>
      </c>
      <c r="J162" s="4">
        <f t="shared" si="2"/>
        <v>0.333333333333333</v>
      </c>
    </row>
    <row r="163" s="1" customFormat="1" spans="1:10">
      <c r="A163" s="1" t="s">
        <v>2095</v>
      </c>
      <c r="B163" s="1" t="s">
        <v>374</v>
      </c>
      <c r="C163" s="1">
        <v>2013</v>
      </c>
      <c r="D163" s="1" t="s">
        <v>2098</v>
      </c>
      <c r="E163" s="1" t="s">
        <v>1905</v>
      </c>
      <c r="F163" s="1" t="s">
        <v>1769</v>
      </c>
      <c r="G163" s="1" t="s">
        <v>1769</v>
      </c>
      <c r="H163" s="1" t="s">
        <v>1854</v>
      </c>
      <c r="I163" s="2">
        <v>3</v>
      </c>
      <c r="J163" s="4">
        <f t="shared" si="2"/>
        <v>0.333333333333333</v>
      </c>
    </row>
    <row r="164" s="1" customFormat="1" spans="1:10">
      <c r="A164" s="1" t="s">
        <v>2099</v>
      </c>
      <c r="B164" s="1" t="s">
        <v>173</v>
      </c>
      <c r="C164" s="1">
        <v>2014</v>
      </c>
      <c r="D164" s="1" t="s">
        <v>2100</v>
      </c>
      <c r="E164" s="1" t="s">
        <v>1900</v>
      </c>
      <c r="F164" s="1" t="s">
        <v>1957</v>
      </c>
      <c r="G164" s="1" t="s">
        <v>1753</v>
      </c>
      <c r="H164" s="1" t="s">
        <v>1867</v>
      </c>
      <c r="I164" s="2">
        <v>5</v>
      </c>
      <c r="J164" s="4">
        <f t="shared" si="2"/>
        <v>0.2</v>
      </c>
    </row>
    <row r="165" s="1" customFormat="1" spans="1:10">
      <c r="A165" s="1" t="s">
        <v>2099</v>
      </c>
      <c r="B165" s="1" t="s">
        <v>173</v>
      </c>
      <c r="C165" s="1">
        <v>2014</v>
      </c>
      <c r="D165" s="1" t="s">
        <v>2101</v>
      </c>
      <c r="E165" s="1" t="s">
        <v>1903</v>
      </c>
      <c r="F165" s="1" t="s">
        <v>1957</v>
      </c>
      <c r="G165" s="1" t="s">
        <v>1838</v>
      </c>
      <c r="H165" s="1" t="s">
        <v>1867</v>
      </c>
      <c r="I165" s="2">
        <v>5</v>
      </c>
      <c r="J165" s="4">
        <f t="shared" si="2"/>
        <v>0.2</v>
      </c>
    </row>
    <row r="166" s="1" customFormat="1" spans="1:10">
      <c r="A166" s="1" t="s">
        <v>2099</v>
      </c>
      <c r="B166" s="1" t="s">
        <v>173</v>
      </c>
      <c r="C166" s="1">
        <v>2014</v>
      </c>
      <c r="D166" s="1" t="s">
        <v>2102</v>
      </c>
      <c r="E166" s="1" t="s">
        <v>1903</v>
      </c>
      <c r="F166" s="1" t="s">
        <v>2103</v>
      </c>
      <c r="G166" s="1" t="s">
        <v>1753</v>
      </c>
      <c r="H166" s="1" t="s">
        <v>1867</v>
      </c>
      <c r="I166" s="2">
        <v>5</v>
      </c>
      <c r="J166" s="4">
        <f t="shared" si="2"/>
        <v>0.2</v>
      </c>
    </row>
    <row r="167" s="1" customFormat="1" spans="1:10">
      <c r="A167" s="1" t="s">
        <v>2099</v>
      </c>
      <c r="B167" s="1" t="s">
        <v>173</v>
      </c>
      <c r="C167" s="1">
        <v>2014</v>
      </c>
      <c r="D167" s="1" t="s">
        <v>2104</v>
      </c>
      <c r="E167" s="1" t="s">
        <v>1903</v>
      </c>
      <c r="F167" s="1" t="s">
        <v>1957</v>
      </c>
      <c r="G167" s="1" t="s">
        <v>1753</v>
      </c>
      <c r="H167" s="1" t="s">
        <v>1867</v>
      </c>
      <c r="I167" s="2">
        <v>5</v>
      </c>
      <c r="J167" s="4">
        <f t="shared" si="2"/>
        <v>0.2</v>
      </c>
    </row>
    <row r="168" s="1" customFormat="1" spans="1:10">
      <c r="A168" s="1" t="s">
        <v>2099</v>
      </c>
      <c r="B168" s="1" t="s">
        <v>173</v>
      </c>
      <c r="C168" s="1">
        <v>2014</v>
      </c>
      <c r="D168" s="1" t="s">
        <v>2105</v>
      </c>
      <c r="E168" s="1" t="s">
        <v>1905</v>
      </c>
      <c r="F168" s="1" t="s">
        <v>1957</v>
      </c>
      <c r="G168" s="1" t="s">
        <v>1753</v>
      </c>
      <c r="H168" s="1" t="s">
        <v>1867</v>
      </c>
      <c r="I168" s="2">
        <v>5</v>
      </c>
      <c r="J168" s="4">
        <f t="shared" si="2"/>
        <v>0.2</v>
      </c>
    </row>
    <row r="169" s="1" customFormat="1" spans="1:10">
      <c r="A169" s="1" t="s">
        <v>2106</v>
      </c>
      <c r="B169" s="1" t="s">
        <v>839</v>
      </c>
      <c r="C169" s="1">
        <v>2012</v>
      </c>
      <c r="D169" s="1" t="s">
        <v>2107</v>
      </c>
      <c r="E169" s="1" t="s">
        <v>1900</v>
      </c>
      <c r="F169" s="2" t="s">
        <v>1712</v>
      </c>
      <c r="G169" s="2" t="s">
        <v>1712</v>
      </c>
      <c r="H169" s="1" t="s">
        <v>1866</v>
      </c>
      <c r="I169" s="2">
        <v>2</v>
      </c>
      <c r="J169" s="4">
        <f t="shared" si="2"/>
        <v>0.5</v>
      </c>
    </row>
    <row r="170" s="1" customFormat="1" spans="1:10">
      <c r="A170" s="1" t="s">
        <v>2106</v>
      </c>
      <c r="B170" s="1" t="s">
        <v>839</v>
      </c>
      <c r="C170" s="1">
        <v>2012</v>
      </c>
      <c r="D170" s="1" t="s">
        <v>2108</v>
      </c>
      <c r="E170" s="1" t="s">
        <v>1905</v>
      </c>
      <c r="F170" s="2" t="s">
        <v>1712</v>
      </c>
      <c r="G170" s="2" t="s">
        <v>1712</v>
      </c>
      <c r="H170" s="1" t="s">
        <v>1866</v>
      </c>
      <c r="I170" s="2">
        <v>2</v>
      </c>
      <c r="J170" s="4">
        <f t="shared" si="2"/>
        <v>0.5</v>
      </c>
    </row>
    <row r="171" s="1" customFormat="1" spans="1:10">
      <c r="A171" s="1" t="s">
        <v>2109</v>
      </c>
      <c r="B171" s="1" t="s">
        <v>576</v>
      </c>
      <c r="C171" s="1">
        <v>2015</v>
      </c>
      <c r="D171" s="1" t="s">
        <v>2110</v>
      </c>
      <c r="E171" s="1" t="s">
        <v>1900</v>
      </c>
      <c r="F171" s="2" t="s">
        <v>1730</v>
      </c>
      <c r="G171" s="2" t="s">
        <v>1730</v>
      </c>
      <c r="H171" s="1" t="s">
        <v>1869</v>
      </c>
      <c r="I171" s="2">
        <v>2</v>
      </c>
      <c r="J171" s="4">
        <f t="shared" si="2"/>
        <v>0.5</v>
      </c>
    </row>
    <row r="172" s="1" customFormat="1" spans="1:10">
      <c r="A172" s="1" t="s">
        <v>2109</v>
      </c>
      <c r="B172" s="1" t="s">
        <v>576</v>
      </c>
      <c r="C172" s="1">
        <v>2015</v>
      </c>
      <c r="D172" s="1" t="s">
        <v>2111</v>
      </c>
      <c r="E172" s="1" t="s">
        <v>1905</v>
      </c>
      <c r="F172" s="2" t="s">
        <v>1730</v>
      </c>
      <c r="G172" s="2" t="s">
        <v>1730</v>
      </c>
      <c r="H172" s="1" t="s">
        <v>1869</v>
      </c>
      <c r="I172" s="2">
        <v>2</v>
      </c>
      <c r="J172" s="4">
        <f t="shared" si="2"/>
        <v>0.5</v>
      </c>
    </row>
    <row r="173" s="1" customFormat="1" spans="1:10">
      <c r="A173" s="1" t="s">
        <v>2112</v>
      </c>
      <c r="B173" s="1" t="s">
        <v>409</v>
      </c>
      <c r="C173" s="1">
        <v>2015</v>
      </c>
      <c r="D173" s="1" t="s">
        <v>2113</v>
      </c>
      <c r="E173" s="1" t="s">
        <v>1900</v>
      </c>
      <c r="F173" s="1" t="s">
        <v>2114</v>
      </c>
      <c r="G173" s="2" t="s">
        <v>1729</v>
      </c>
      <c r="H173" s="1" t="s">
        <v>1874</v>
      </c>
      <c r="I173" s="2">
        <v>2</v>
      </c>
      <c r="J173" s="4">
        <f t="shared" si="2"/>
        <v>0.5</v>
      </c>
    </row>
    <row r="174" s="1" customFormat="1" spans="1:10">
      <c r="A174" s="1" t="s">
        <v>2112</v>
      </c>
      <c r="B174" s="1" t="s">
        <v>409</v>
      </c>
      <c r="C174" s="1">
        <v>2015</v>
      </c>
      <c r="D174" s="1" t="s">
        <v>2115</v>
      </c>
      <c r="E174" s="1" t="s">
        <v>1905</v>
      </c>
      <c r="F174" s="1" t="s">
        <v>2114</v>
      </c>
      <c r="G174" s="2" t="s">
        <v>1729</v>
      </c>
      <c r="H174" s="1" t="s">
        <v>1874</v>
      </c>
      <c r="I174" s="2">
        <v>2</v>
      </c>
      <c r="J174" s="4">
        <f t="shared" si="2"/>
        <v>0.5</v>
      </c>
    </row>
    <row r="175" s="1" customFormat="1" spans="1:10">
      <c r="A175" s="1" t="s">
        <v>2116</v>
      </c>
      <c r="B175" s="1" t="s">
        <v>560</v>
      </c>
      <c r="C175" s="1">
        <v>2015</v>
      </c>
      <c r="D175" s="1" t="s">
        <v>2117</v>
      </c>
      <c r="E175" s="1" t="s">
        <v>1900</v>
      </c>
      <c r="F175" s="1" t="s">
        <v>1717</v>
      </c>
      <c r="G175" s="1" t="s">
        <v>1717</v>
      </c>
      <c r="H175" s="1" t="s">
        <v>1871</v>
      </c>
      <c r="I175" s="2">
        <v>3</v>
      </c>
      <c r="J175" s="4">
        <f t="shared" si="2"/>
        <v>0.333333333333333</v>
      </c>
    </row>
    <row r="176" s="1" customFormat="1" spans="1:10">
      <c r="A176" s="1" t="s">
        <v>2116</v>
      </c>
      <c r="B176" s="1" t="s">
        <v>560</v>
      </c>
      <c r="C176" s="1">
        <v>2015</v>
      </c>
      <c r="D176" s="1" t="s">
        <v>2118</v>
      </c>
      <c r="E176" s="1" t="s">
        <v>1903</v>
      </c>
      <c r="F176" s="1" t="s">
        <v>1717</v>
      </c>
      <c r="G176" s="1" t="s">
        <v>1717</v>
      </c>
      <c r="H176" s="1" t="s">
        <v>1871</v>
      </c>
      <c r="I176" s="2">
        <v>3</v>
      </c>
      <c r="J176" s="4">
        <f t="shared" si="2"/>
        <v>0.333333333333333</v>
      </c>
    </row>
    <row r="177" s="1" customFormat="1" spans="1:10">
      <c r="A177" s="1" t="s">
        <v>2116</v>
      </c>
      <c r="B177" s="1" t="s">
        <v>560</v>
      </c>
      <c r="C177" s="1">
        <v>2015</v>
      </c>
      <c r="D177" s="1" t="s">
        <v>2119</v>
      </c>
      <c r="E177" s="1" t="s">
        <v>1905</v>
      </c>
      <c r="F177" s="1" t="s">
        <v>1775</v>
      </c>
      <c r="G177" s="1" t="s">
        <v>1775</v>
      </c>
      <c r="H177" s="1" t="s">
        <v>1862</v>
      </c>
      <c r="I177" s="2">
        <v>3</v>
      </c>
      <c r="J177" s="4">
        <f t="shared" si="2"/>
        <v>0.333333333333333</v>
      </c>
    </row>
    <row r="178" s="1" customFormat="1" spans="1:10">
      <c r="A178" s="1" t="s">
        <v>2120</v>
      </c>
      <c r="B178" s="1" t="s">
        <v>723</v>
      </c>
      <c r="C178" s="1">
        <v>2014</v>
      </c>
      <c r="D178" s="1" t="s">
        <v>2121</v>
      </c>
      <c r="E178" s="1" t="s">
        <v>1900</v>
      </c>
      <c r="F178" s="1" t="s">
        <v>1742</v>
      </c>
      <c r="G178" s="1" t="s">
        <v>1742</v>
      </c>
      <c r="H178" s="1" t="s">
        <v>1877</v>
      </c>
      <c r="I178" s="2">
        <v>2</v>
      </c>
      <c r="J178" s="4">
        <f t="shared" si="2"/>
        <v>0.5</v>
      </c>
    </row>
    <row r="179" s="1" customFormat="1" spans="1:10">
      <c r="A179" s="1" t="s">
        <v>2120</v>
      </c>
      <c r="B179" s="1" t="s">
        <v>723</v>
      </c>
      <c r="C179" s="1">
        <v>2014</v>
      </c>
      <c r="D179" s="1" t="s">
        <v>2122</v>
      </c>
      <c r="E179" s="1" t="s">
        <v>1905</v>
      </c>
      <c r="F179" s="1" t="s">
        <v>1742</v>
      </c>
      <c r="G179" s="1" t="s">
        <v>1742</v>
      </c>
      <c r="H179" s="1" t="s">
        <v>1877</v>
      </c>
      <c r="I179" s="2">
        <v>2</v>
      </c>
      <c r="J179" s="4">
        <f t="shared" si="2"/>
        <v>0.5</v>
      </c>
    </row>
    <row r="180" s="1" customFormat="1" spans="1:10">
      <c r="A180" s="1" t="s">
        <v>2123</v>
      </c>
      <c r="B180" s="1" t="s">
        <v>316</v>
      </c>
      <c r="C180" s="1">
        <v>2015</v>
      </c>
      <c r="D180" s="1" t="s">
        <v>2124</v>
      </c>
      <c r="E180" s="1" t="s">
        <v>1900</v>
      </c>
      <c r="F180" s="1" t="s">
        <v>1746</v>
      </c>
      <c r="G180" s="1" t="s">
        <v>1746</v>
      </c>
      <c r="H180" s="1" t="s">
        <v>1853</v>
      </c>
      <c r="I180" s="2">
        <v>3</v>
      </c>
      <c r="J180" s="4">
        <f t="shared" si="2"/>
        <v>0.333333333333333</v>
      </c>
    </row>
    <row r="181" s="1" customFormat="1" spans="1:10">
      <c r="A181" s="1" t="s">
        <v>2123</v>
      </c>
      <c r="B181" s="1" t="s">
        <v>316</v>
      </c>
      <c r="C181" s="1">
        <v>2015</v>
      </c>
      <c r="D181" s="1" t="s">
        <v>2125</v>
      </c>
      <c r="E181" s="1" t="s">
        <v>1903</v>
      </c>
      <c r="F181" s="1" t="s">
        <v>1746</v>
      </c>
      <c r="G181" s="1" t="s">
        <v>1746</v>
      </c>
      <c r="H181" s="1" t="s">
        <v>1853</v>
      </c>
      <c r="I181" s="2">
        <v>3</v>
      </c>
      <c r="J181" s="4">
        <f t="shared" si="2"/>
        <v>0.333333333333333</v>
      </c>
    </row>
    <row r="182" s="1" customFormat="1" spans="1:10">
      <c r="A182" s="1" t="s">
        <v>2123</v>
      </c>
      <c r="B182" s="1" t="s">
        <v>316</v>
      </c>
      <c r="C182" s="1">
        <v>2015</v>
      </c>
      <c r="D182" s="1" t="s">
        <v>2126</v>
      </c>
      <c r="E182" s="1" t="s">
        <v>1905</v>
      </c>
      <c r="F182" s="1" t="s">
        <v>1746</v>
      </c>
      <c r="G182" s="1" t="s">
        <v>1746</v>
      </c>
      <c r="H182" s="1" t="s">
        <v>1853</v>
      </c>
      <c r="I182" s="2">
        <v>3</v>
      </c>
      <c r="J182" s="4">
        <f t="shared" si="2"/>
        <v>0.333333333333333</v>
      </c>
    </row>
    <row r="183" s="1" customFormat="1" spans="1:10">
      <c r="A183" s="1" t="s">
        <v>2127</v>
      </c>
      <c r="B183" s="1" t="s">
        <v>334</v>
      </c>
      <c r="C183" s="1">
        <v>2015</v>
      </c>
      <c r="D183" s="1" t="s">
        <v>2128</v>
      </c>
      <c r="E183" s="1" t="s">
        <v>1900</v>
      </c>
      <c r="F183" s="1" t="s">
        <v>1713</v>
      </c>
      <c r="G183" s="1" t="s">
        <v>1713</v>
      </c>
      <c r="H183" s="1" t="s">
        <v>1853</v>
      </c>
      <c r="I183" s="2">
        <v>4</v>
      </c>
      <c r="J183" s="4">
        <f t="shared" si="2"/>
        <v>0.25</v>
      </c>
    </row>
    <row r="184" s="1" customFormat="1" spans="1:10">
      <c r="A184" s="1" t="s">
        <v>2127</v>
      </c>
      <c r="B184" s="1" t="s">
        <v>334</v>
      </c>
      <c r="C184" s="1">
        <v>2015</v>
      </c>
      <c r="D184" s="1" t="s">
        <v>2129</v>
      </c>
      <c r="E184" s="1" t="s">
        <v>1903</v>
      </c>
      <c r="F184" s="1" t="s">
        <v>1784</v>
      </c>
      <c r="G184" s="1" t="s">
        <v>1784</v>
      </c>
      <c r="H184" s="1" t="s">
        <v>1857</v>
      </c>
      <c r="I184" s="2">
        <v>4</v>
      </c>
      <c r="J184" s="4">
        <f t="shared" si="2"/>
        <v>0.25</v>
      </c>
    </row>
    <row r="185" s="1" customFormat="1" spans="1:10">
      <c r="A185" s="1" t="s">
        <v>2127</v>
      </c>
      <c r="B185" s="1" t="s">
        <v>334</v>
      </c>
      <c r="C185" s="1">
        <v>2015</v>
      </c>
      <c r="D185" s="1" t="s">
        <v>2130</v>
      </c>
      <c r="E185" s="1" t="s">
        <v>1903</v>
      </c>
      <c r="F185" s="1" t="s">
        <v>1784</v>
      </c>
      <c r="G185" s="1" t="s">
        <v>1784</v>
      </c>
      <c r="H185" s="1" t="s">
        <v>1857</v>
      </c>
      <c r="I185" s="2">
        <v>4</v>
      </c>
      <c r="J185" s="4">
        <f t="shared" si="2"/>
        <v>0.25</v>
      </c>
    </row>
    <row r="186" s="1" customFormat="1" spans="1:10">
      <c r="A186" s="1" t="s">
        <v>2127</v>
      </c>
      <c r="B186" s="1" t="s">
        <v>334</v>
      </c>
      <c r="C186" s="1">
        <v>2015</v>
      </c>
      <c r="D186" s="1" t="s">
        <v>2131</v>
      </c>
      <c r="E186" s="1" t="s">
        <v>1905</v>
      </c>
      <c r="F186" s="1" t="s">
        <v>2132</v>
      </c>
      <c r="G186" s="1" t="s">
        <v>1823</v>
      </c>
      <c r="H186" s="1" t="s">
        <v>1854</v>
      </c>
      <c r="I186" s="2">
        <v>4</v>
      </c>
      <c r="J186" s="4">
        <f t="shared" si="2"/>
        <v>0.25</v>
      </c>
    </row>
    <row r="187" s="1" customFormat="1" spans="1:10">
      <c r="A187" s="1" t="s">
        <v>2133</v>
      </c>
      <c r="B187" s="1" t="s">
        <v>378</v>
      </c>
      <c r="C187" s="1">
        <v>2015</v>
      </c>
      <c r="D187" s="1" t="s">
        <v>2134</v>
      </c>
      <c r="E187" s="1" t="s">
        <v>1900</v>
      </c>
      <c r="F187" s="1" t="s">
        <v>1707</v>
      </c>
      <c r="G187" s="1" t="s">
        <v>1707</v>
      </c>
      <c r="H187" s="1" t="s">
        <v>1859</v>
      </c>
      <c r="I187" s="2">
        <v>3</v>
      </c>
      <c r="J187" s="4">
        <f t="shared" si="2"/>
        <v>0.333333333333333</v>
      </c>
    </row>
    <row r="188" s="1" customFormat="1" spans="1:10">
      <c r="A188" s="1" t="s">
        <v>2133</v>
      </c>
      <c r="B188" s="1" t="s">
        <v>378</v>
      </c>
      <c r="C188" s="1">
        <v>2015</v>
      </c>
      <c r="D188" s="1" t="s">
        <v>1915</v>
      </c>
      <c r="E188" s="1" t="s">
        <v>1903</v>
      </c>
      <c r="F188" s="1" t="s">
        <v>1806</v>
      </c>
      <c r="G188" s="1" t="s">
        <v>1806</v>
      </c>
      <c r="H188" s="1" t="s">
        <v>1865</v>
      </c>
      <c r="I188" s="2">
        <v>3</v>
      </c>
      <c r="J188" s="4">
        <f t="shared" si="2"/>
        <v>0.333333333333333</v>
      </c>
    </row>
    <row r="189" s="1" customFormat="1" spans="1:10">
      <c r="A189" s="1" t="s">
        <v>2133</v>
      </c>
      <c r="B189" s="1" t="s">
        <v>378</v>
      </c>
      <c r="C189" s="1">
        <v>2015</v>
      </c>
      <c r="D189" s="1" t="s">
        <v>1916</v>
      </c>
      <c r="E189" s="1" t="s">
        <v>1905</v>
      </c>
      <c r="F189" s="1" t="s">
        <v>1707</v>
      </c>
      <c r="G189" s="1" t="s">
        <v>1707</v>
      </c>
      <c r="H189" s="1" t="s">
        <v>1859</v>
      </c>
      <c r="I189" s="2">
        <v>3</v>
      </c>
      <c r="J189" s="4">
        <f t="shared" si="2"/>
        <v>0.333333333333333</v>
      </c>
    </row>
    <row r="190" s="1" customFormat="1" spans="1:10">
      <c r="A190" s="1" t="s">
        <v>2135</v>
      </c>
      <c r="B190" s="1" t="s">
        <v>387</v>
      </c>
      <c r="C190" s="1">
        <v>2015</v>
      </c>
      <c r="D190" s="1" t="s">
        <v>2058</v>
      </c>
      <c r="E190" s="1" t="s">
        <v>1900</v>
      </c>
      <c r="F190" s="1" t="s">
        <v>1792</v>
      </c>
      <c r="G190" s="1" t="s">
        <v>1792</v>
      </c>
      <c r="H190" s="1" t="s">
        <v>1854</v>
      </c>
      <c r="I190" s="2">
        <v>2</v>
      </c>
      <c r="J190" s="4">
        <f t="shared" si="2"/>
        <v>0.5</v>
      </c>
    </row>
    <row r="191" s="1" customFormat="1" spans="1:10">
      <c r="A191" s="1" t="s">
        <v>2135</v>
      </c>
      <c r="B191" s="1" t="s">
        <v>387</v>
      </c>
      <c r="C191" s="1">
        <v>2015</v>
      </c>
      <c r="D191" s="1" t="s">
        <v>2136</v>
      </c>
      <c r="E191" s="1" t="s">
        <v>1905</v>
      </c>
      <c r="F191" s="1" t="s">
        <v>1706</v>
      </c>
      <c r="G191" s="1" t="s">
        <v>1706</v>
      </c>
      <c r="H191" s="1" t="s">
        <v>1854</v>
      </c>
      <c r="I191" s="2">
        <v>2</v>
      </c>
      <c r="J191" s="4">
        <f t="shared" si="2"/>
        <v>0.5</v>
      </c>
    </row>
    <row r="192" s="1" customFormat="1" spans="1:10">
      <c r="A192" s="1" t="s">
        <v>2137</v>
      </c>
      <c r="B192" s="1" t="s">
        <v>821</v>
      </c>
      <c r="C192" s="1">
        <v>2014</v>
      </c>
      <c r="D192" s="1" t="s">
        <v>2138</v>
      </c>
      <c r="E192" s="1" t="s">
        <v>1900</v>
      </c>
      <c r="F192" s="1" t="s">
        <v>1805</v>
      </c>
      <c r="G192" s="1" t="s">
        <v>1805</v>
      </c>
      <c r="H192" s="1" t="s">
        <v>1856</v>
      </c>
      <c r="I192" s="2">
        <v>6</v>
      </c>
      <c r="J192" s="4">
        <f t="shared" si="2"/>
        <v>0.166666666666667</v>
      </c>
    </row>
    <row r="193" s="1" customFormat="1" spans="1:10">
      <c r="A193" s="1" t="s">
        <v>2137</v>
      </c>
      <c r="B193" s="1" t="s">
        <v>821</v>
      </c>
      <c r="C193" s="1">
        <v>2014</v>
      </c>
      <c r="D193" s="1" t="s">
        <v>2139</v>
      </c>
      <c r="E193" s="1" t="s">
        <v>1903</v>
      </c>
      <c r="F193" s="1" t="s">
        <v>1805</v>
      </c>
      <c r="G193" s="1" t="s">
        <v>1805</v>
      </c>
      <c r="H193" s="1" t="s">
        <v>1856</v>
      </c>
      <c r="I193" s="2">
        <v>6</v>
      </c>
      <c r="J193" s="4">
        <f t="shared" si="2"/>
        <v>0.166666666666667</v>
      </c>
    </row>
    <row r="194" s="1" customFormat="1" spans="1:10">
      <c r="A194" s="1" t="s">
        <v>2137</v>
      </c>
      <c r="B194" s="1" t="s">
        <v>821</v>
      </c>
      <c r="C194" s="1">
        <v>2014</v>
      </c>
      <c r="D194" s="1" t="s">
        <v>2140</v>
      </c>
      <c r="E194" s="1" t="s">
        <v>1903</v>
      </c>
      <c r="F194" s="1" t="s">
        <v>1803</v>
      </c>
      <c r="G194" s="1" t="s">
        <v>1803</v>
      </c>
      <c r="H194" s="1" t="s">
        <v>1856</v>
      </c>
      <c r="I194" s="2">
        <v>6</v>
      </c>
      <c r="J194" s="4">
        <f t="shared" ref="J194:J257" si="3">1/I194</f>
        <v>0.166666666666667</v>
      </c>
    </row>
    <row r="195" s="1" customFormat="1" spans="1:10">
      <c r="A195" s="1" t="s">
        <v>2137</v>
      </c>
      <c r="B195" s="1" t="s">
        <v>821</v>
      </c>
      <c r="C195" s="1">
        <v>2014</v>
      </c>
      <c r="D195" s="1" t="s">
        <v>2141</v>
      </c>
      <c r="E195" s="1" t="s">
        <v>1903</v>
      </c>
      <c r="F195" s="1" t="s">
        <v>1803</v>
      </c>
      <c r="G195" s="1" t="s">
        <v>1803</v>
      </c>
      <c r="H195" s="1" t="s">
        <v>1856</v>
      </c>
      <c r="I195" s="2">
        <v>6</v>
      </c>
      <c r="J195" s="4">
        <f t="shared" si="3"/>
        <v>0.166666666666667</v>
      </c>
    </row>
    <row r="196" s="1" customFormat="1" spans="1:10">
      <c r="A196" s="1" t="s">
        <v>2137</v>
      </c>
      <c r="B196" s="1" t="s">
        <v>821</v>
      </c>
      <c r="C196" s="1">
        <v>2014</v>
      </c>
      <c r="D196" s="1" t="s">
        <v>2096</v>
      </c>
      <c r="E196" s="1" t="s">
        <v>1903</v>
      </c>
      <c r="F196" s="1" t="s">
        <v>1763</v>
      </c>
      <c r="G196" s="1" t="s">
        <v>1763</v>
      </c>
      <c r="H196" s="1" t="s">
        <v>1884</v>
      </c>
      <c r="I196" s="2">
        <v>6</v>
      </c>
      <c r="J196" s="4">
        <f t="shared" si="3"/>
        <v>0.166666666666667</v>
      </c>
    </row>
    <row r="197" s="1" customFormat="1" spans="1:10">
      <c r="A197" s="1" t="s">
        <v>2137</v>
      </c>
      <c r="B197" s="1" t="s">
        <v>821</v>
      </c>
      <c r="C197" s="1">
        <v>2014</v>
      </c>
      <c r="D197" s="1" t="s">
        <v>2142</v>
      </c>
      <c r="E197" s="1" t="s">
        <v>1905</v>
      </c>
      <c r="F197" s="1" t="s">
        <v>1763</v>
      </c>
      <c r="G197" s="1" t="s">
        <v>1763</v>
      </c>
      <c r="H197" s="1" t="s">
        <v>1884</v>
      </c>
      <c r="I197" s="2">
        <v>6</v>
      </c>
      <c r="J197" s="4">
        <f t="shared" si="3"/>
        <v>0.166666666666667</v>
      </c>
    </row>
    <row r="198" s="1" customFormat="1" spans="1:10">
      <c r="A198" s="1" t="s">
        <v>2143</v>
      </c>
      <c r="B198" s="1" t="s">
        <v>403</v>
      </c>
      <c r="C198" s="1">
        <v>2015</v>
      </c>
      <c r="D198" s="1" t="s">
        <v>2144</v>
      </c>
      <c r="E198" s="1" t="s">
        <v>1900</v>
      </c>
      <c r="F198" s="1" t="s">
        <v>1801</v>
      </c>
      <c r="G198" s="1" t="s">
        <v>1801</v>
      </c>
      <c r="H198" s="1" t="s">
        <v>1864</v>
      </c>
      <c r="I198" s="2">
        <v>6</v>
      </c>
      <c r="J198" s="4">
        <f t="shared" si="3"/>
        <v>0.166666666666667</v>
      </c>
    </row>
    <row r="199" s="1" customFormat="1" spans="1:10">
      <c r="A199" s="1" t="s">
        <v>2143</v>
      </c>
      <c r="B199" s="1" t="s">
        <v>403</v>
      </c>
      <c r="C199" s="1">
        <v>2015</v>
      </c>
      <c r="D199" s="1" t="s">
        <v>2145</v>
      </c>
      <c r="E199" s="1" t="s">
        <v>1903</v>
      </c>
      <c r="F199" s="1" t="s">
        <v>1761</v>
      </c>
      <c r="G199" s="1" t="s">
        <v>1761</v>
      </c>
      <c r="H199" s="1" t="s">
        <v>1864</v>
      </c>
      <c r="I199" s="2">
        <v>6</v>
      </c>
      <c r="J199" s="4">
        <f t="shared" si="3"/>
        <v>0.166666666666667</v>
      </c>
    </row>
    <row r="200" s="1" customFormat="1" spans="1:10">
      <c r="A200" s="1" t="s">
        <v>2143</v>
      </c>
      <c r="B200" s="1" t="s">
        <v>403</v>
      </c>
      <c r="C200" s="1">
        <v>2015</v>
      </c>
      <c r="D200" s="1" t="s">
        <v>2146</v>
      </c>
      <c r="E200" s="1" t="s">
        <v>1903</v>
      </c>
      <c r="F200" s="1" t="s">
        <v>1761</v>
      </c>
      <c r="G200" s="1" t="s">
        <v>1761</v>
      </c>
      <c r="H200" s="1" t="s">
        <v>1864</v>
      </c>
      <c r="I200" s="2">
        <v>6</v>
      </c>
      <c r="J200" s="4">
        <f t="shared" si="3"/>
        <v>0.166666666666667</v>
      </c>
    </row>
    <row r="201" s="1" customFormat="1" spans="1:10">
      <c r="A201" s="1" t="s">
        <v>2143</v>
      </c>
      <c r="B201" s="1" t="s">
        <v>403</v>
      </c>
      <c r="C201" s="1">
        <v>2015</v>
      </c>
      <c r="D201" s="1" t="s">
        <v>2147</v>
      </c>
      <c r="E201" s="1" t="s">
        <v>1903</v>
      </c>
      <c r="F201" s="1" t="s">
        <v>1801</v>
      </c>
      <c r="G201" s="1" t="s">
        <v>1801</v>
      </c>
      <c r="H201" s="1" t="s">
        <v>1864</v>
      </c>
      <c r="I201" s="2">
        <v>6</v>
      </c>
      <c r="J201" s="4">
        <f t="shared" si="3"/>
        <v>0.166666666666667</v>
      </c>
    </row>
    <row r="202" s="1" customFormat="1" spans="1:10">
      <c r="A202" s="1" t="s">
        <v>2143</v>
      </c>
      <c r="B202" s="1" t="s">
        <v>403</v>
      </c>
      <c r="C202" s="1">
        <v>2015</v>
      </c>
      <c r="D202" s="1" t="s">
        <v>2148</v>
      </c>
      <c r="E202" s="1" t="s">
        <v>1903</v>
      </c>
      <c r="F202" s="1" t="s">
        <v>1761</v>
      </c>
      <c r="G202" s="1" t="s">
        <v>1761</v>
      </c>
      <c r="H202" s="1" t="s">
        <v>1864</v>
      </c>
      <c r="I202" s="2">
        <v>6</v>
      </c>
      <c r="J202" s="4">
        <f t="shared" si="3"/>
        <v>0.166666666666667</v>
      </c>
    </row>
    <row r="203" s="1" customFormat="1" spans="1:10">
      <c r="A203" s="1" t="s">
        <v>2143</v>
      </c>
      <c r="B203" s="1" t="s">
        <v>403</v>
      </c>
      <c r="C203" s="1">
        <v>2015</v>
      </c>
      <c r="D203" s="1" t="s">
        <v>2149</v>
      </c>
      <c r="E203" s="1" t="s">
        <v>1905</v>
      </c>
      <c r="F203" s="1" t="s">
        <v>1761</v>
      </c>
      <c r="G203" s="1" t="s">
        <v>1761</v>
      </c>
      <c r="H203" s="1" t="s">
        <v>1864</v>
      </c>
      <c r="I203" s="2">
        <v>6</v>
      </c>
      <c r="J203" s="4">
        <f t="shared" si="3"/>
        <v>0.166666666666667</v>
      </c>
    </row>
    <row r="204" s="1" customFormat="1" spans="1:10">
      <c r="A204" s="1" t="s">
        <v>2150</v>
      </c>
      <c r="B204" s="1" t="s">
        <v>74</v>
      </c>
      <c r="C204" s="1">
        <v>2016</v>
      </c>
      <c r="D204" s="1" t="s">
        <v>2151</v>
      </c>
      <c r="E204" s="1" t="s">
        <v>1900</v>
      </c>
      <c r="F204" s="1" t="s">
        <v>1739</v>
      </c>
      <c r="G204" s="1" t="s">
        <v>1739</v>
      </c>
      <c r="H204" s="1" t="s">
        <v>1875</v>
      </c>
      <c r="I204" s="2">
        <v>2</v>
      </c>
      <c r="J204" s="4">
        <f t="shared" si="3"/>
        <v>0.5</v>
      </c>
    </row>
    <row r="205" s="1" customFormat="1" spans="1:10">
      <c r="A205" s="1" t="s">
        <v>2150</v>
      </c>
      <c r="B205" s="1" t="s">
        <v>74</v>
      </c>
      <c r="C205" s="1">
        <v>2016</v>
      </c>
      <c r="D205" s="1" t="s">
        <v>2152</v>
      </c>
      <c r="E205" s="1" t="s">
        <v>1905</v>
      </c>
      <c r="F205" s="1" t="s">
        <v>1739</v>
      </c>
      <c r="G205" s="1" t="s">
        <v>1739</v>
      </c>
      <c r="H205" s="1" t="s">
        <v>1875</v>
      </c>
      <c r="I205" s="2">
        <v>2</v>
      </c>
      <c r="J205" s="4">
        <f t="shared" si="3"/>
        <v>0.5</v>
      </c>
    </row>
    <row r="206" s="1" customFormat="1" spans="1:10">
      <c r="A206" s="1" t="s">
        <v>2153</v>
      </c>
      <c r="B206" s="1" t="s">
        <v>12</v>
      </c>
      <c r="C206" s="1">
        <v>2016</v>
      </c>
      <c r="D206" s="1" t="s">
        <v>2154</v>
      </c>
      <c r="E206" s="1" t="s">
        <v>1900</v>
      </c>
      <c r="F206" s="1" t="s">
        <v>1957</v>
      </c>
      <c r="G206" s="1" t="s">
        <v>1789</v>
      </c>
      <c r="H206" s="1" t="s">
        <v>1862</v>
      </c>
      <c r="I206" s="2">
        <v>4</v>
      </c>
      <c r="J206" s="4">
        <f t="shared" si="3"/>
        <v>0.25</v>
      </c>
    </row>
    <row r="207" s="1" customFormat="1" spans="1:10">
      <c r="A207" s="1" t="s">
        <v>2153</v>
      </c>
      <c r="B207" s="1" t="s">
        <v>12</v>
      </c>
      <c r="C207" s="1">
        <v>2016</v>
      </c>
      <c r="D207" s="1" t="s">
        <v>2155</v>
      </c>
      <c r="E207" s="1" t="s">
        <v>1903</v>
      </c>
      <c r="F207" s="1" t="s">
        <v>1957</v>
      </c>
      <c r="G207" s="1" t="s">
        <v>1789</v>
      </c>
      <c r="H207" s="1" t="s">
        <v>1862</v>
      </c>
      <c r="I207" s="2">
        <v>4</v>
      </c>
      <c r="J207" s="4">
        <f t="shared" si="3"/>
        <v>0.25</v>
      </c>
    </row>
    <row r="208" s="1" customFormat="1" spans="1:10">
      <c r="A208" s="1" t="s">
        <v>2153</v>
      </c>
      <c r="B208" s="1" t="s">
        <v>12</v>
      </c>
      <c r="C208" s="1">
        <v>2016</v>
      </c>
      <c r="D208" s="1" t="s">
        <v>2156</v>
      </c>
      <c r="E208" s="1" t="s">
        <v>1903</v>
      </c>
      <c r="F208" s="1" t="s">
        <v>1794</v>
      </c>
      <c r="G208" s="1" t="s">
        <v>1794</v>
      </c>
      <c r="H208" s="1" t="s">
        <v>1862</v>
      </c>
      <c r="I208" s="2">
        <v>4</v>
      </c>
      <c r="J208" s="4">
        <f t="shared" si="3"/>
        <v>0.25</v>
      </c>
    </row>
    <row r="209" s="1" customFormat="1" spans="1:10">
      <c r="A209" s="1" t="s">
        <v>2153</v>
      </c>
      <c r="B209" s="1" t="s">
        <v>12</v>
      </c>
      <c r="C209" s="1">
        <v>2016</v>
      </c>
      <c r="D209" s="1" t="s">
        <v>2157</v>
      </c>
      <c r="E209" s="1" t="s">
        <v>1905</v>
      </c>
      <c r="F209" s="1" t="s">
        <v>1794</v>
      </c>
      <c r="G209" s="1" t="s">
        <v>1794</v>
      </c>
      <c r="H209" s="1" t="s">
        <v>1862</v>
      </c>
      <c r="I209" s="2">
        <v>4</v>
      </c>
      <c r="J209" s="4">
        <f t="shared" si="3"/>
        <v>0.25</v>
      </c>
    </row>
    <row r="210" s="1" customFormat="1" spans="1:10">
      <c r="A210" s="1" t="s">
        <v>2158</v>
      </c>
      <c r="B210" s="1" t="s">
        <v>675</v>
      </c>
      <c r="C210" s="1">
        <v>2016</v>
      </c>
      <c r="D210" s="1" t="s">
        <v>2159</v>
      </c>
      <c r="E210" s="1" t="s">
        <v>1900</v>
      </c>
      <c r="F210" s="1" t="s">
        <v>2160</v>
      </c>
      <c r="G210" s="1" t="s">
        <v>1752</v>
      </c>
      <c r="H210" s="1" t="s">
        <v>1853</v>
      </c>
      <c r="I210" s="2">
        <v>6</v>
      </c>
      <c r="J210" s="4">
        <f t="shared" si="3"/>
        <v>0.166666666666667</v>
      </c>
    </row>
    <row r="211" s="1" customFormat="1" spans="1:10">
      <c r="A211" s="1" t="s">
        <v>2158</v>
      </c>
      <c r="B211" s="1" t="s">
        <v>675</v>
      </c>
      <c r="C211" s="1">
        <v>2016</v>
      </c>
      <c r="D211" s="1" t="s">
        <v>2050</v>
      </c>
      <c r="E211" s="1" t="s">
        <v>1903</v>
      </c>
      <c r="F211" s="1" t="s">
        <v>2048</v>
      </c>
      <c r="G211" s="1" t="s">
        <v>1720</v>
      </c>
      <c r="H211" s="1" t="s">
        <v>1853</v>
      </c>
      <c r="I211" s="2">
        <v>6</v>
      </c>
      <c r="J211" s="4">
        <f t="shared" si="3"/>
        <v>0.166666666666667</v>
      </c>
    </row>
    <row r="212" s="1" customFormat="1" spans="1:10">
      <c r="A212" s="1" t="s">
        <v>2158</v>
      </c>
      <c r="B212" s="1" t="s">
        <v>675</v>
      </c>
      <c r="C212" s="1">
        <v>2016</v>
      </c>
      <c r="D212" s="1" t="s">
        <v>2161</v>
      </c>
      <c r="E212" s="1" t="s">
        <v>1903</v>
      </c>
      <c r="F212" s="1" t="s">
        <v>2160</v>
      </c>
      <c r="G212" s="1" t="s">
        <v>1752</v>
      </c>
      <c r="H212" s="1" t="s">
        <v>1853</v>
      </c>
      <c r="I212" s="2">
        <v>6</v>
      </c>
      <c r="J212" s="4">
        <f t="shared" si="3"/>
        <v>0.166666666666667</v>
      </c>
    </row>
    <row r="213" s="1" customFormat="1" spans="1:10">
      <c r="A213" s="1" t="s">
        <v>2158</v>
      </c>
      <c r="B213" s="1" t="s">
        <v>675</v>
      </c>
      <c r="C213" s="1">
        <v>2016</v>
      </c>
      <c r="D213" s="1" t="s">
        <v>2162</v>
      </c>
      <c r="E213" s="1" t="s">
        <v>1903</v>
      </c>
      <c r="F213" s="1" t="s">
        <v>2160</v>
      </c>
      <c r="G213" s="1" t="s">
        <v>1752</v>
      </c>
      <c r="H213" s="1" t="s">
        <v>1853</v>
      </c>
      <c r="I213" s="2">
        <v>6</v>
      </c>
      <c r="J213" s="4">
        <f t="shared" si="3"/>
        <v>0.166666666666667</v>
      </c>
    </row>
    <row r="214" s="1" customFormat="1" spans="1:10">
      <c r="A214" s="1" t="s">
        <v>2158</v>
      </c>
      <c r="B214" s="1" t="s">
        <v>675</v>
      </c>
      <c r="C214" s="1">
        <v>2016</v>
      </c>
      <c r="D214" s="1" t="s">
        <v>2163</v>
      </c>
      <c r="E214" s="1" t="s">
        <v>1903</v>
      </c>
      <c r="F214" s="1" t="s">
        <v>2160</v>
      </c>
      <c r="G214" s="1" t="s">
        <v>1752</v>
      </c>
      <c r="H214" s="1" t="s">
        <v>1853</v>
      </c>
      <c r="I214" s="2">
        <v>6</v>
      </c>
      <c r="J214" s="4">
        <f t="shared" si="3"/>
        <v>0.166666666666667</v>
      </c>
    </row>
    <row r="215" s="1" customFormat="1" spans="1:10">
      <c r="A215" s="1" t="s">
        <v>2158</v>
      </c>
      <c r="B215" s="1" t="s">
        <v>675</v>
      </c>
      <c r="C215" s="1">
        <v>2016</v>
      </c>
      <c r="D215" s="1" t="s">
        <v>2164</v>
      </c>
      <c r="E215" s="1" t="s">
        <v>1905</v>
      </c>
      <c r="F215" s="1" t="s">
        <v>2160</v>
      </c>
      <c r="G215" s="1" t="s">
        <v>1752</v>
      </c>
      <c r="H215" s="1" t="s">
        <v>1853</v>
      </c>
      <c r="I215" s="2">
        <v>6</v>
      </c>
      <c r="J215" s="4">
        <f t="shared" si="3"/>
        <v>0.166666666666667</v>
      </c>
    </row>
    <row r="216" s="1" customFormat="1" spans="1:10">
      <c r="A216" s="1" t="s">
        <v>2165</v>
      </c>
      <c r="B216" s="1" t="s">
        <v>391</v>
      </c>
      <c r="C216" s="1">
        <v>2015</v>
      </c>
      <c r="D216" s="1" t="s">
        <v>2146</v>
      </c>
      <c r="E216" s="1" t="s">
        <v>1900</v>
      </c>
      <c r="F216" s="1" t="s">
        <v>1782</v>
      </c>
      <c r="G216" s="1" t="s">
        <v>1782</v>
      </c>
      <c r="H216" s="1" t="s">
        <v>1864</v>
      </c>
      <c r="I216" s="2">
        <v>4</v>
      </c>
      <c r="J216" s="4">
        <f t="shared" si="3"/>
        <v>0.25</v>
      </c>
    </row>
    <row r="217" s="1" customFormat="1" spans="1:10">
      <c r="A217" s="1" t="s">
        <v>2165</v>
      </c>
      <c r="B217" s="1" t="s">
        <v>391</v>
      </c>
      <c r="C217" s="1">
        <v>2015</v>
      </c>
      <c r="D217" s="1" t="s">
        <v>2166</v>
      </c>
      <c r="E217" s="1" t="s">
        <v>1903</v>
      </c>
      <c r="F217" s="1" t="s">
        <v>1782</v>
      </c>
      <c r="G217" s="1" t="s">
        <v>1782</v>
      </c>
      <c r="H217" s="1" t="s">
        <v>1864</v>
      </c>
      <c r="I217" s="2">
        <v>4</v>
      </c>
      <c r="J217" s="4">
        <f t="shared" si="3"/>
        <v>0.25</v>
      </c>
    </row>
    <row r="218" s="1" customFormat="1" spans="1:10">
      <c r="A218" s="1" t="s">
        <v>2165</v>
      </c>
      <c r="B218" s="1" t="s">
        <v>391</v>
      </c>
      <c r="C218" s="1">
        <v>2015</v>
      </c>
      <c r="D218" s="1" t="s">
        <v>2167</v>
      </c>
      <c r="E218" s="1" t="s">
        <v>1903</v>
      </c>
      <c r="F218" s="1" t="s">
        <v>1786</v>
      </c>
      <c r="G218" s="1" t="s">
        <v>1786</v>
      </c>
      <c r="H218" s="1" t="s">
        <v>1860</v>
      </c>
      <c r="I218" s="2">
        <v>4</v>
      </c>
      <c r="J218" s="4">
        <f t="shared" si="3"/>
        <v>0.25</v>
      </c>
    </row>
    <row r="219" s="1" customFormat="1" spans="1:10">
      <c r="A219" s="1" t="s">
        <v>2165</v>
      </c>
      <c r="B219" s="1" t="s">
        <v>391</v>
      </c>
      <c r="C219" s="1">
        <v>2015</v>
      </c>
      <c r="D219" s="1" t="s">
        <v>2168</v>
      </c>
      <c r="E219" s="1" t="s">
        <v>1905</v>
      </c>
      <c r="F219" s="1" t="s">
        <v>1786</v>
      </c>
      <c r="G219" s="1" t="s">
        <v>1786</v>
      </c>
      <c r="H219" s="1" t="s">
        <v>1860</v>
      </c>
      <c r="I219" s="2">
        <v>4</v>
      </c>
      <c r="J219" s="4">
        <f t="shared" si="3"/>
        <v>0.25</v>
      </c>
    </row>
    <row r="220" s="1" customFormat="1" spans="1:10">
      <c r="A220" s="1" t="s">
        <v>2169</v>
      </c>
      <c r="B220" s="1" t="s">
        <v>677</v>
      </c>
      <c r="C220" s="1">
        <v>2017</v>
      </c>
      <c r="D220" s="1" t="s">
        <v>2170</v>
      </c>
      <c r="E220" s="1" t="s">
        <v>1900</v>
      </c>
      <c r="F220" s="1" t="s">
        <v>1709</v>
      </c>
      <c r="G220" s="1" t="s">
        <v>1709</v>
      </c>
      <c r="H220" s="1" t="s">
        <v>1856</v>
      </c>
      <c r="I220" s="2">
        <v>3</v>
      </c>
      <c r="J220" s="4">
        <f t="shared" si="3"/>
        <v>0.333333333333333</v>
      </c>
    </row>
    <row r="221" s="1" customFormat="1" spans="1:10">
      <c r="A221" s="1" t="s">
        <v>2169</v>
      </c>
      <c r="B221" s="1" t="s">
        <v>677</v>
      </c>
      <c r="C221" s="1">
        <v>2017</v>
      </c>
      <c r="D221" s="1" t="s">
        <v>2171</v>
      </c>
      <c r="E221" s="1" t="s">
        <v>1903</v>
      </c>
      <c r="F221" s="1" t="s">
        <v>1709</v>
      </c>
      <c r="G221" s="1" t="s">
        <v>1709</v>
      </c>
      <c r="H221" s="1" t="s">
        <v>1856</v>
      </c>
      <c r="I221" s="2">
        <v>3</v>
      </c>
      <c r="J221" s="4">
        <f t="shared" si="3"/>
        <v>0.333333333333333</v>
      </c>
    </row>
    <row r="222" s="1" customFormat="1" spans="1:10">
      <c r="A222" s="1" t="s">
        <v>2169</v>
      </c>
      <c r="B222" s="1" t="s">
        <v>677</v>
      </c>
      <c r="C222" s="1">
        <v>2017</v>
      </c>
      <c r="D222" s="1" t="s">
        <v>2172</v>
      </c>
      <c r="E222" s="1" t="s">
        <v>1905</v>
      </c>
      <c r="F222" s="1" t="s">
        <v>1709</v>
      </c>
      <c r="G222" s="1" t="s">
        <v>1709</v>
      </c>
      <c r="H222" s="1" t="s">
        <v>1856</v>
      </c>
      <c r="I222" s="2">
        <v>3</v>
      </c>
      <c r="J222" s="4">
        <f t="shared" si="3"/>
        <v>0.333333333333333</v>
      </c>
    </row>
    <row r="223" s="1" customFormat="1" spans="1:10">
      <c r="A223" s="1" t="s">
        <v>2173</v>
      </c>
      <c r="B223" s="1" t="s">
        <v>364</v>
      </c>
      <c r="C223" s="1">
        <v>2017</v>
      </c>
      <c r="D223" s="1" t="s">
        <v>2174</v>
      </c>
      <c r="E223" s="1" t="s">
        <v>1900</v>
      </c>
      <c r="F223" s="1" t="s">
        <v>1764</v>
      </c>
      <c r="G223" s="1" t="s">
        <v>1764</v>
      </c>
      <c r="H223" s="1" t="s">
        <v>1864</v>
      </c>
      <c r="I223" s="2">
        <v>3</v>
      </c>
      <c r="J223" s="4">
        <f t="shared" si="3"/>
        <v>0.333333333333333</v>
      </c>
    </row>
    <row r="224" s="1" customFormat="1" spans="1:10">
      <c r="A224" s="1" t="s">
        <v>2173</v>
      </c>
      <c r="B224" s="1" t="s">
        <v>364</v>
      </c>
      <c r="C224" s="1">
        <v>2017</v>
      </c>
      <c r="D224" s="1" t="s">
        <v>2166</v>
      </c>
      <c r="E224" s="1" t="s">
        <v>1903</v>
      </c>
      <c r="F224" s="1" t="s">
        <v>1764</v>
      </c>
      <c r="G224" s="1" t="s">
        <v>1764</v>
      </c>
      <c r="H224" s="1" t="s">
        <v>1864</v>
      </c>
      <c r="I224" s="2">
        <v>3</v>
      </c>
      <c r="J224" s="4">
        <f t="shared" si="3"/>
        <v>0.333333333333333</v>
      </c>
    </row>
    <row r="225" s="1" customFormat="1" spans="1:10">
      <c r="A225" s="1" t="s">
        <v>2173</v>
      </c>
      <c r="B225" s="1" t="s">
        <v>364</v>
      </c>
      <c r="C225" s="1">
        <v>2017</v>
      </c>
      <c r="D225" s="1" t="s">
        <v>2175</v>
      </c>
      <c r="E225" s="1" t="s">
        <v>1905</v>
      </c>
      <c r="F225" s="1" t="s">
        <v>1807</v>
      </c>
      <c r="G225" s="1" t="s">
        <v>1807</v>
      </c>
      <c r="H225" s="1" t="s">
        <v>1864</v>
      </c>
      <c r="I225" s="2">
        <v>3</v>
      </c>
      <c r="J225" s="4">
        <f t="shared" si="3"/>
        <v>0.333333333333333</v>
      </c>
    </row>
    <row r="226" s="1" customFormat="1" spans="1:10">
      <c r="A226" s="1" t="s">
        <v>2176</v>
      </c>
      <c r="B226" s="1" t="s">
        <v>827</v>
      </c>
      <c r="C226" s="1">
        <v>2017</v>
      </c>
      <c r="D226" s="1" t="s">
        <v>2177</v>
      </c>
      <c r="E226" s="1" t="s">
        <v>1900</v>
      </c>
      <c r="F226" s="1" t="s">
        <v>1818</v>
      </c>
      <c r="G226" s="1" t="s">
        <v>1818</v>
      </c>
      <c r="H226" s="1" t="s">
        <v>1857</v>
      </c>
      <c r="I226" s="2">
        <v>4</v>
      </c>
      <c r="J226" s="4">
        <f t="shared" si="3"/>
        <v>0.25</v>
      </c>
    </row>
    <row r="227" s="1" customFormat="1" spans="1:10">
      <c r="A227" s="1" t="s">
        <v>2176</v>
      </c>
      <c r="B227" s="1" t="s">
        <v>827</v>
      </c>
      <c r="C227" s="1">
        <v>2017</v>
      </c>
      <c r="D227" s="1" t="s">
        <v>2178</v>
      </c>
      <c r="E227" s="1" t="s">
        <v>1903</v>
      </c>
      <c r="F227" s="1" t="s">
        <v>2179</v>
      </c>
      <c r="G227" s="1" t="s">
        <v>1821</v>
      </c>
      <c r="H227" s="1" t="s">
        <v>1857</v>
      </c>
      <c r="I227" s="2">
        <v>4</v>
      </c>
      <c r="J227" s="4">
        <f t="shared" si="3"/>
        <v>0.25</v>
      </c>
    </row>
    <row r="228" s="1" customFormat="1" spans="1:10">
      <c r="A228" s="1" t="s">
        <v>2176</v>
      </c>
      <c r="B228" s="1" t="s">
        <v>827</v>
      </c>
      <c r="C228" s="1">
        <v>2017</v>
      </c>
      <c r="D228" s="1" t="s">
        <v>2180</v>
      </c>
      <c r="E228" s="1" t="s">
        <v>1903</v>
      </c>
      <c r="F228" s="1" t="s">
        <v>1736</v>
      </c>
      <c r="G228" s="1" t="s">
        <v>1736</v>
      </c>
      <c r="H228" s="1" t="s">
        <v>1857</v>
      </c>
      <c r="I228" s="2">
        <v>4</v>
      </c>
      <c r="J228" s="4">
        <f t="shared" si="3"/>
        <v>0.25</v>
      </c>
    </row>
    <row r="229" s="1" customFormat="1" spans="1:10">
      <c r="A229" s="1" t="s">
        <v>2176</v>
      </c>
      <c r="B229" s="1" t="s">
        <v>827</v>
      </c>
      <c r="C229" s="1">
        <v>2017</v>
      </c>
      <c r="D229" s="1" t="s">
        <v>2181</v>
      </c>
      <c r="E229" s="1" t="s">
        <v>1905</v>
      </c>
      <c r="F229" s="1" t="s">
        <v>1831</v>
      </c>
      <c r="G229" s="1" t="s">
        <v>1831</v>
      </c>
      <c r="H229" s="1" t="s">
        <v>1857</v>
      </c>
      <c r="I229" s="2">
        <v>4</v>
      </c>
      <c r="J229" s="4">
        <f t="shared" si="3"/>
        <v>0.25</v>
      </c>
    </row>
    <row r="230" s="1" customFormat="1" spans="1:10">
      <c r="A230" s="1" t="s">
        <v>2182</v>
      </c>
      <c r="B230" s="1" t="s">
        <v>673</v>
      </c>
      <c r="C230" s="1">
        <v>2017</v>
      </c>
      <c r="D230" s="1" t="s">
        <v>2183</v>
      </c>
      <c r="E230" s="1" t="s">
        <v>1900</v>
      </c>
      <c r="F230" s="1" t="s">
        <v>1750</v>
      </c>
      <c r="G230" s="1" t="s">
        <v>1750</v>
      </c>
      <c r="H230" s="1" t="s">
        <v>1853</v>
      </c>
      <c r="I230" s="2">
        <v>7</v>
      </c>
      <c r="J230" s="4">
        <f t="shared" si="3"/>
        <v>0.142857142857143</v>
      </c>
    </row>
    <row r="231" s="1" customFormat="1" spans="1:10">
      <c r="A231" s="1" t="s">
        <v>2182</v>
      </c>
      <c r="B231" s="1" t="s">
        <v>673</v>
      </c>
      <c r="C231" s="1">
        <v>2017</v>
      </c>
      <c r="D231" s="1" t="s">
        <v>2184</v>
      </c>
      <c r="E231" s="1" t="s">
        <v>1903</v>
      </c>
      <c r="F231" s="1" t="s">
        <v>1750</v>
      </c>
      <c r="G231" s="1" t="s">
        <v>1750</v>
      </c>
      <c r="H231" s="1" t="s">
        <v>1853</v>
      </c>
      <c r="I231" s="2">
        <v>7</v>
      </c>
      <c r="J231" s="4">
        <f t="shared" si="3"/>
        <v>0.142857142857143</v>
      </c>
    </row>
    <row r="232" s="1" customFormat="1" spans="1:10">
      <c r="A232" s="1" t="s">
        <v>2182</v>
      </c>
      <c r="B232" s="1" t="s">
        <v>673</v>
      </c>
      <c r="C232" s="1">
        <v>2017</v>
      </c>
      <c r="D232" s="1" t="s">
        <v>2185</v>
      </c>
      <c r="E232" s="1" t="s">
        <v>1903</v>
      </c>
      <c r="F232" s="1" t="s">
        <v>1850</v>
      </c>
      <c r="G232" s="1" t="s">
        <v>1850</v>
      </c>
      <c r="H232" s="1" t="s">
        <v>1856</v>
      </c>
      <c r="I232" s="2">
        <v>7</v>
      </c>
      <c r="J232" s="4">
        <f t="shared" si="3"/>
        <v>0.142857142857143</v>
      </c>
    </row>
    <row r="233" s="1" customFormat="1" spans="1:10">
      <c r="A233" s="1" t="s">
        <v>2182</v>
      </c>
      <c r="B233" s="1" t="s">
        <v>673</v>
      </c>
      <c r="C233" s="1">
        <v>2017</v>
      </c>
      <c r="D233" s="1" t="s">
        <v>2186</v>
      </c>
      <c r="E233" s="1" t="s">
        <v>1903</v>
      </c>
      <c r="F233" s="1" t="s">
        <v>1750</v>
      </c>
      <c r="G233" s="1" t="s">
        <v>1750</v>
      </c>
      <c r="H233" s="1" t="s">
        <v>1853</v>
      </c>
      <c r="I233" s="2">
        <v>7</v>
      </c>
      <c r="J233" s="4">
        <f t="shared" si="3"/>
        <v>0.142857142857143</v>
      </c>
    </row>
    <row r="234" s="1" customFormat="1" spans="1:10">
      <c r="A234" s="1" t="s">
        <v>2182</v>
      </c>
      <c r="B234" s="1" t="s">
        <v>673</v>
      </c>
      <c r="C234" s="1">
        <v>2017</v>
      </c>
      <c r="D234" s="1" t="s">
        <v>2187</v>
      </c>
      <c r="E234" s="1" t="s">
        <v>1903</v>
      </c>
      <c r="F234" s="1" t="s">
        <v>1750</v>
      </c>
      <c r="G234" s="1" t="s">
        <v>1750</v>
      </c>
      <c r="H234" s="1" t="s">
        <v>1853</v>
      </c>
      <c r="I234" s="2">
        <v>7</v>
      </c>
      <c r="J234" s="4">
        <f t="shared" si="3"/>
        <v>0.142857142857143</v>
      </c>
    </row>
    <row r="235" s="1" customFormat="1" spans="1:10">
      <c r="A235" s="1" t="s">
        <v>2182</v>
      </c>
      <c r="B235" s="1" t="s">
        <v>673</v>
      </c>
      <c r="C235" s="1">
        <v>2017</v>
      </c>
      <c r="D235" s="1" t="s">
        <v>2188</v>
      </c>
      <c r="E235" s="1" t="s">
        <v>1903</v>
      </c>
      <c r="F235" s="1" t="s">
        <v>1750</v>
      </c>
      <c r="G235" s="1" t="s">
        <v>1750</v>
      </c>
      <c r="H235" s="1" t="s">
        <v>1853</v>
      </c>
      <c r="I235" s="2">
        <v>7</v>
      </c>
      <c r="J235" s="4">
        <f t="shared" si="3"/>
        <v>0.142857142857143</v>
      </c>
    </row>
    <row r="236" s="1" customFormat="1" spans="1:10">
      <c r="A236" s="1" t="s">
        <v>2182</v>
      </c>
      <c r="B236" s="1" t="s">
        <v>673</v>
      </c>
      <c r="C236" s="1">
        <v>2017</v>
      </c>
      <c r="D236" s="1" t="s">
        <v>2189</v>
      </c>
      <c r="E236" s="1" t="s">
        <v>1905</v>
      </c>
      <c r="F236" s="1" t="s">
        <v>1750</v>
      </c>
      <c r="G236" s="1" t="s">
        <v>1750</v>
      </c>
      <c r="H236" s="1" t="s">
        <v>1853</v>
      </c>
      <c r="I236" s="2">
        <v>7</v>
      </c>
      <c r="J236" s="4">
        <f t="shared" si="3"/>
        <v>0.142857142857143</v>
      </c>
    </row>
    <row r="237" s="1" customFormat="1" spans="1:10">
      <c r="A237" s="1" t="s">
        <v>2190</v>
      </c>
      <c r="B237" s="1" t="s">
        <v>691</v>
      </c>
      <c r="C237" s="1">
        <v>2016</v>
      </c>
      <c r="D237" s="1" t="s">
        <v>2191</v>
      </c>
      <c r="E237" s="1" t="s">
        <v>1900</v>
      </c>
      <c r="F237" s="1" t="s">
        <v>1828</v>
      </c>
      <c r="G237" s="1" t="s">
        <v>1828</v>
      </c>
      <c r="H237" s="1" t="s">
        <v>1863</v>
      </c>
      <c r="I237" s="2">
        <v>4</v>
      </c>
      <c r="J237" s="4">
        <f t="shared" si="3"/>
        <v>0.25</v>
      </c>
    </row>
    <row r="238" s="1" customFormat="1" spans="1:10">
      <c r="A238" s="1" t="s">
        <v>2190</v>
      </c>
      <c r="B238" s="1" t="s">
        <v>691</v>
      </c>
      <c r="C238" s="1">
        <v>2016</v>
      </c>
      <c r="D238" s="1" t="s">
        <v>2192</v>
      </c>
      <c r="E238" s="1" t="s">
        <v>1903</v>
      </c>
      <c r="F238" s="1" t="s">
        <v>1716</v>
      </c>
      <c r="G238" s="1" t="s">
        <v>1716</v>
      </c>
      <c r="H238" s="1" t="s">
        <v>1863</v>
      </c>
      <c r="I238" s="2">
        <v>4</v>
      </c>
      <c r="J238" s="4">
        <f t="shared" si="3"/>
        <v>0.25</v>
      </c>
    </row>
    <row r="239" s="1" customFormat="1" spans="1:10">
      <c r="A239" s="1" t="s">
        <v>2190</v>
      </c>
      <c r="B239" s="1" t="s">
        <v>691</v>
      </c>
      <c r="C239" s="1">
        <v>2016</v>
      </c>
      <c r="D239" s="1" t="s">
        <v>2193</v>
      </c>
      <c r="E239" s="1" t="s">
        <v>1903</v>
      </c>
      <c r="F239" s="1" t="s">
        <v>1716</v>
      </c>
      <c r="G239" s="1" t="s">
        <v>1716</v>
      </c>
      <c r="H239" s="1" t="s">
        <v>1863</v>
      </c>
      <c r="I239" s="2">
        <v>4</v>
      </c>
      <c r="J239" s="4">
        <f t="shared" si="3"/>
        <v>0.25</v>
      </c>
    </row>
    <row r="240" s="1" customFormat="1" spans="1:10">
      <c r="A240" s="1" t="s">
        <v>2190</v>
      </c>
      <c r="B240" s="1" t="s">
        <v>691</v>
      </c>
      <c r="C240" s="1">
        <v>2016</v>
      </c>
      <c r="D240" s="1" t="s">
        <v>2194</v>
      </c>
      <c r="E240" s="1" t="s">
        <v>1905</v>
      </c>
      <c r="F240" s="1" t="s">
        <v>1826</v>
      </c>
      <c r="G240" s="1" t="s">
        <v>1826</v>
      </c>
      <c r="H240" s="1" t="s">
        <v>1863</v>
      </c>
      <c r="I240" s="2">
        <v>4</v>
      </c>
      <c r="J240" s="4">
        <f t="shared" si="3"/>
        <v>0.25</v>
      </c>
    </row>
    <row r="241" s="1" customFormat="1" spans="1:10">
      <c r="A241" s="1" t="s">
        <v>2195</v>
      </c>
      <c r="B241" s="1" t="s">
        <v>372</v>
      </c>
      <c r="C241" s="1">
        <v>2017</v>
      </c>
      <c r="D241" s="1" t="s">
        <v>2196</v>
      </c>
      <c r="E241" s="1" t="s">
        <v>1900</v>
      </c>
      <c r="F241" s="1" t="s">
        <v>1714</v>
      </c>
      <c r="G241" s="1" t="s">
        <v>1714</v>
      </c>
      <c r="H241" s="1" t="s">
        <v>1854</v>
      </c>
      <c r="I241" s="2">
        <v>3</v>
      </c>
      <c r="J241" s="4">
        <f t="shared" si="3"/>
        <v>0.333333333333333</v>
      </c>
    </row>
    <row r="242" s="1" customFormat="1" spans="1:10">
      <c r="A242" s="1" t="s">
        <v>2195</v>
      </c>
      <c r="B242" s="1" t="s">
        <v>372</v>
      </c>
      <c r="C242" s="1">
        <v>2017</v>
      </c>
      <c r="D242" s="1" t="s">
        <v>2197</v>
      </c>
      <c r="E242" s="1" t="s">
        <v>1903</v>
      </c>
      <c r="F242" s="1" t="s">
        <v>1714</v>
      </c>
      <c r="G242" s="1" t="s">
        <v>1714</v>
      </c>
      <c r="H242" s="1" t="s">
        <v>1854</v>
      </c>
      <c r="I242" s="2">
        <v>3</v>
      </c>
      <c r="J242" s="4">
        <f t="shared" si="3"/>
        <v>0.333333333333333</v>
      </c>
    </row>
    <row r="243" s="1" customFormat="1" spans="1:10">
      <c r="A243" s="1" t="s">
        <v>2195</v>
      </c>
      <c r="B243" s="1" t="s">
        <v>372</v>
      </c>
      <c r="C243" s="1">
        <v>2017</v>
      </c>
      <c r="D243" s="1" t="s">
        <v>2198</v>
      </c>
      <c r="E243" s="1" t="s">
        <v>1905</v>
      </c>
      <c r="F243" s="1" t="s">
        <v>1714</v>
      </c>
      <c r="G243" s="1" t="s">
        <v>1714</v>
      </c>
      <c r="H243" s="1" t="s">
        <v>1854</v>
      </c>
      <c r="I243" s="2">
        <v>3</v>
      </c>
      <c r="J243" s="4">
        <f t="shared" si="3"/>
        <v>0.333333333333333</v>
      </c>
    </row>
    <row r="244" s="1" customFormat="1" spans="1:10">
      <c r="A244" s="1" t="s">
        <v>2199</v>
      </c>
      <c r="B244" s="1" t="s">
        <v>163</v>
      </c>
      <c r="C244" s="1">
        <v>2017</v>
      </c>
      <c r="D244" s="1" t="s">
        <v>2200</v>
      </c>
      <c r="E244" s="1" t="s">
        <v>1900</v>
      </c>
      <c r="F244" s="1" t="s">
        <v>1820</v>
      </c>
      <c r="G244" s="1" t="s">
        <v>1820</v>
      </c>
      <c r="H244" s="1" t="s">
        <v>1888</v>
      </c>
      <c r="I244" s="2">
        <v>4</v>
      </c>
      <c r="J244" s="4">
        <f t="shared" si="3"/>
        <v>0.25</v>
      </c>
    </row>
    <row r="245" s="1" customFormat="1" spans="1:10">
      <c r="A245" s="1" t="s">
        <v>2199</v>
      </c>
      <c r="B245" s="1" t="s">
        <v>163</v>
      </c>
      <c r="C245" s="1">
        <v>2017</v>
      </c>
      <c r="D245" s="1" t="s">
        <v>2201</v>
      </c>
      <c r="E245" s="1" t="s">
        <v>1903</v>
      </c>
      <c r="F245" s="1" t="s">
        <v>1817</v>
      </c>
      <c r="G245" s="1" t="s">
        <v>1817</v>
      </c>
      <c r="H245" s="1" t="s">
        <v>1865</v>
      </c>
      <c r="I245" s="2">
        <v>4</v>
      </c>
      <c r="J245" s="4">
        <f t="shared" si="3"/>
        <v>0.25</v>
      </c>
    </row>
    <row r="246" s="1" customFormat="1" spans="1:10">
      <c r="A246" s="1" t="s">
        <v>2199</v>
      </c>
      <c r="B246" s="1" t="s">
        <v>163</v>
      </c>
      <c r="C246" s="1">
        <v>2017</v>
      </c>
      <c r="D246" s="1" t="s">
        <v>2202</v>
      </c>
      <c r="E246" s="1" t="s">
        <v>1903</v>
      </c>
      <c r="F246" s="1" t="s">
        <v>1708</v>
      </c>
      <c r="G246" s="1" t="s">
        <v>1708</v>
      </c>
      <c r="H246" s="1" t="s">
        <v>1860</v>
      </c>
      <c r="I246" s="2">
        <v>4</v>
      </c>
      <c r="J246" s="4">
        <f t="shared" si="3"/>
        <v>0.25</v>
      </c>
    </row>
    <row r="247" s="1" customFormat="1" spans="1:10">
      <c r="A247" s="1" t="s">
        <v>2199</v>
      </c>
      <c r="B247" s="1" t="s">
        <v>163</v>
      </c>
      <c r="C247" s="1">
        <v>2017</v>
      </c>
      <c r="D247" s="1" t="s">
        <v>2203</v>
      </c>
      <c r="E247" s="1" t="s">
        <v>1905</v>
      </c>
      <c r="F247" s="1" t="s">
        <v>1708</v>
      </c>
      <c r="G247" s="1" t="s">
        <v>1708</v>
      </c>
      <c r="H247" s="1" t="s">
        <v>1860</v>
      </c>
      <c r="I247" s="2">
        <v>4</v>
      </c>
      <c r="J247" s="4">
        <f t="shared" si="3"/>
        <v>0.25</v>
      </c>
    </row>
    <row r="248" s="1" customFormat="1" spans="1:10">
      <c r="A248" s="1" t="s">
        <v>2204</v>
      </c>
      <c r="B248" s="1" t="s">
        <v>825</v>
      </c>
      <c r="C248" s="1">
        <v>2017</v>
      </c>
      <c r="D248" s="1" t="s">
        <v>2205</v>
      </c>
      <c r="E248" s="1" t="s">
        <v>1900</v>
      </c>
      <c r="F248" s="1" t="s">
        <v>1734</v>
      </c>
      <c r="G248" s="1" t="s">
        <v>1734</v>
      </c>
      <c r="H248" s="1" t="s">
        <v>1870</v>
      </c>
      <c r="I248" s="2">
        <v>2</v>
      </c>
      <c r="J248" s="4">
        <f t="shared" si="3"/>
        <v>0.5</v>
      </c>
    </row>
    <row r="249" s="1" customFormat="1" spans="1:10">
      <c r="A249" s="1" t="s">
        <v>2204</v>
      </c>
      <c r="B249" s="1" t="s">
        <v>825</v>
      </c>
      <c r="C249" s="1">
        <v>2017</v>
      </c>
      <c r="D249" s="1" t="s">
        <v>2206</v>
      </c>
      <c r="E249" s="1" t="s">
        <v>1905</v>
      </c>
      <c r="F249" s="1" t="s">
        <v>1734</v>
      </c>
      <c r="G249" s="1" t="s">
        <v>1734</v>
      </c>
      <c r="H249" s="1" t="s">
        <v>1870</v>
      </c>
      <c r="I249" s="2">
        <v>2</v>
      </c>
      <c r="J249" s="4">
        <f t="shared" si="3"/>
        <v>0.5</v>
      </c>
    </row>
    <row r="250" s="1" customFormat="1" spans="1:10">
      <c r="A250" s="1" t="s">
        <v>2207</v>
      </c>
      <c r="B250" s="1" t="s">
        <v>584</v>
      </c>
      <c r="C250" s="1">
        <v>2017</v>
      </c>
      <c r="D250" s="1" t="s">
        <v>2117</v>
      </c>
      <c r="E250" s="1" t="s">
        <v>1900</v>
      </c>
      <c r="F250" s="1" t="s">
        <v>1717</v>
      </c>
      <c r="G250" s="1" t="s">
        <v>1717</v>
      </c>
      <c r="H250" s="1" t="s">
        <v>1871</v>
      </c>
      <c r="I250" s="2">
        <v>4</v>
      </c>
      <c r="J250" s="4">
        <f t="shared" si="3"/>
        <v>0.25</v>
      </c>
    </row>
    <row r="251" s="1" customFormat="1" spans="1:10">
      <c r="A251" s="1" t="s">
        <v>2207</v>
      </c>
      <c r="B251" s="1" t="s">
        <v>584</v>
      </c>
      <c r="C251" s="1">
        <v>2017</v>
      </c>
      <c r="D251" s="1" t="s">
        <v>2208</v>
      </c>
      <c r="E251" s="1" t="s">
        <v>1903</v>
      </c>
      <c r="F251" s="1" t="s">
        <v>1717</v>
      </c>
      <c r="G251" s="1" t="s">
        <v>1717</v>
      </c>
      <c r="H251" s="1" t="s">
        <v>1871</v>
      </c>
      <c r="I251" s="2">
        <v>4</v>
      </c>
      <c r="J251" s="4">
        <f t="shared" si="3"/>
        <v>0.25</v>
      </c>
    </row>
    <row r="252" s="1" customFormat="1" spans="1:10">
      <c r="A252" s="1" t="s">
        <v>2207</v>
      </c>
      <c r="B252" s="1" t="s">
        <v>584</v>
      </c>
      <c r="C252" s="1">
        <v>2017</v>
      </c>
      <c r="D252" s="1" t="s">
        <v>2118</v>
      </c>
      <c r="E252" s="1" t="s">
        <v>1903</v>
      </c>
      <c r="F252" s="1" t="s">
        <v>1717</v>
      </c>
      <c r="G252" s="1" t="s">
        <v>1717</v>
      </c>
      <c r="H252" s="1" t="s">
        <v>1871</v>
      </c>
      <c r="I252" s="2">
        <v>4</v>
      </c>
      <c r="J252" s="4">
        <f t="shared" si="3"/>
        <v>0.25</v>
      </c>
    </row>
    <row r="253" s="1" customFormat="1" spans="1:10">
      <c r="A253" s="1" t="s">
        <v>2207</v>
      </c>
      <c r="B253" s="1" t="s">
        <v>584</v>
      </c>
      <c r="C253" s="1">
        <v>2017</v>
      </c>
      <c r="D253" s="1" t="s">
        <v>2119</v>
      </c>
      <c r="E253" s="1" t="s">
        <v>1905</v>
      </c>
      <c r="F253" s="1" t="s">
        <v>1775</v>
      </c>
      <c r="G253" s="1" t="s">
        <v>1775</v>
      </c>
      <c r="H253" s="1" t="s">
        <v>1862</v>
      </c>
      <c r="I253" s="2">
        <v>4</v>
      </c>
      <c r="J253" s="4">
        <f t="shared" si="3"/>
        <v>0.25</v>
      </c>
    </row>
    <row r="254" s="1" customFormat="1" spans="1:10">
      <c r="A254" s="1" t="s">
        <v>2209</v>
      </c>
      <c r="B254" s="1" t="s">
        <v>875</v>
      </c>
      <c r="C254" s="1">
        <v>2017</v>
      </c>
      <c r="D254" s="1" t="s">
        <v>2210</v>
      </c>
      <c r="E254" s="1" t="s">
        <v>1900</v>
      </c>
      <c r="F254" s="1" t="s">
        <v>1814</v>
      </c>
      <c r="G254" s="1" t="s">
        <v>1814</v>
      </c>
      <c r="H254" s="1" t="s">
        <v>1854</v>
      </c>
      <c r="I254" s="2">
        <v>7</v>
      </c>
      <c r="J254" s="4">
        <f t="shared" si="3"/>
        <v>0.142857142857143</v>
      </c>
    </row>
    <row r="255" s="1" customFormat="1" spans="1:10">
      <c r="A255" s="1" t="s">
        <v>2209</v>
      </c>
      <c r="B255" s="1" t="s">
        <v>875</v>
      </c>
      <c r="C255" s="1">
        <v>2017</v>
      </c>
      <c r="D255" s="1" t="s">
        <v>2211</v>
      </c>
      <c r="E255" s="1" t="s">
        <v>1903</v>
      </c>
      <c r="F255" s="1" t="s">
        <v>1776</v>
      </c>
      <c r="G255" s="1" t="s">
        <v>1776</v>
      </c>
      <c r="H255" s="1" t="s">
        <v>1854</v>
      </c>
      <c r="I255" s="2">
        <v>7</v>
      </c>
      <c r="J255" s="4">
        <f t="shared" si="3"/>
        <v>0.142857142857143</v>
      </c>
    </row>
    <row r="256" s="1" customFormat="1" spans="1:10">
      <c r="A256" s="1" t="s">
        <v>2209</v>
      </c>
      <c r="B256" s="1" t="s">
        <v>875</v>
      </c>
      <c r="C256" s="1">
        <v>2017</v>
      </c>
      <c r="D256" s="1" t="s">
        <v>2212</v>
      </c>
      <c r="E256" s="1" t="s">
        <v>1903</v>
      </c>
      <c r="F256" s="1" t="s">
        <v>1776</v>
      </c>
      <c r="G256" s="1" t="s">
        <v>1776</v>
      </c>
      <c r="H256" s="1" t="s">
        <v>1854</v>
      </c>
      <c r="I256" s="2">
        <v>7</v>
      </c>
      <c r="J256" s="4">
        <f t="shared" si="3"/>
        <v>0.142857142857143</v>
      </c>
    </row>
    <row r="257" s="1" customFormat="1" spans="1:10">
      <c r="A257" s="1" t="s">
        <v>2209</v>
      </c>
      <c r="B257" s="1" t="s">
        <v>875</v>
      </c>
      <c r="C257" s="1">
        <v>2017</v>
      </c>
      <c r="D257" s="1" t="s">
        <v>2213</v>
      </c>
      <c r="E257" s="1" t="s">
        <v>1903</v>
      </c>
      <c r="F257" s="1" t="s">
        <v>1776</v>
      </c>
      <c r="G257" s="1" t="s">
        <v>1776</v>
      </c>
      <c r="H257" s="1" t="s">
        <v>1854</v>
      </c>
      <c r="I257" s="2">
        <v>7</v>
      </c>
      <c r="J257" s="4">
        <f t="shared" si="3"/>
        <v>0.142857142857143</v>
      </c>
    </row>
    <row r="258" s="1" customFormat="1" spans="1:10">
      <c r="A258" s="1" t="s">
        <v>2209</v>
      </c>
      <c r="B258" s="1" t="s">
        <v>875</v>
      </c>
      <c r="C258" s="1">
        <v>2017</v>
      </c>
      <c r="D258" s="1" t="s">
        <v>2214</v>
      </c>
      <c r="E258" s="1" t="s">
        <v>1903</v>
      </c>
      <c r="F258" s="1" t="s">
        <v>1814</v>
      </c>
      <c r="G258" s="1" t="s">
        <v>1814</v>
      </c>
      <c r="H258" s="1" t="s">
        <v>1854</v>
      </c>
      <c r="I258" s="2">
        <v>7</v>
      </c>
      <c r="J258" s="4">
        <f t="shared" ref="J258:J321" si="4">1/I258</f>
        <v>0.142857142857143</v>
      </c>
    </row>
    <row r="259" s="1" customFormat="1" spans="1:10">
      <c r="A259" s="1" t="s">
        <v>2209</v>
      </c>
      <c r="B259" s="1" t="s">
        <v>875</v>
      </c>
      <c r="C259" s="1">
        <v>2017</v>
      </c>
      <c r="D259" s="1" t="s">
        <v>2215</v>
      </c>
      <c r="E259" s="1" t="s">
        <v>1903</v>
      </c>
      <c r="F259" s="1" t="s">
        <v>1846</v>
      </c>
      <c r="G259" s="1" t="s">
        <v>1846</v>
      </c>
      <c r="H259" s="1" t="s">
        <v>1854</v>
      </c>
      <c r="I259" s="2">
        <v>7</v>
      </c>
      <c r="J259" s="4">
        <f t="shared" si="4"/>
        <v>0.142857142857143</v>
      </c>
    </row>
    <row r="260" s="1" customFormat="1" spans="1:10">
      <c r="A260" s="1" t="s">
        <v>2209</v>
      </c>
      <c r="B260" s="1" t="s">
        <v>875</v>
      </c>
      <c r="C260" s="1">
        <v>2017</v>
      </c>
      <c r="D260" s="1" t="s">
        <v>2216</v>
      </c>
      <c r="E260" s="1" t="s">
        <v>1905</v>
      </c>
      <c r="F260" s="1" t="s">
        <v>1776</v>
      </c>
      <c r="G260" s="1" t="s">
        <v>1776</v>
      </c>
      <c r="H260" s="1" t="s">
        <v>1854</v>
      </c>
      <c r="I260" s="2">
        <v>7</v>
      </c>
      <c r="J260" s="4">
        <f t="shared" si="4"/>
        <v>0.142857142857143</v>
      </c>
    </row>
    <row r="261" s="1" customFormat="1" spans="1:10">
      <c r="A261" s="1" t="s">
        <v>2217</v>
      </c>
      <c r="B261" s="1" t="s">
        <v>833</v>
      </c>
      <c r="C261" s="1">
        <v>2017</v>
      </c>
      <c r="D261" s="1" t="s">
        <v>2218</v>
      </c>
      <c r="E261" s="1" t="s">
        <v>1900</v>
      </c>
      <c r="F261" s="1" t="s">
        <v>1797</v>
      </c>
      <c r="G261" s="1" t="s">
        <v>1797</v>
      </c>
      <c r="H261" s="1" t="s">
        <v>1865</v>
      </c>
      <c r="I261" s="2">
        <v>7</v>
      </c>
      <c r="J261" s="4">
        <f t="shared" si="4"/>
        <v>0.142857142857143</v>
      </c>
    </row>
    <row r="262" s="1" customFormat="1" spans="1:10">
      <c r="A262" s="1" t="s">
        <v>2217</v>
      </c>
      <c r="B262" s="1" t="s">
        <v>833</v>
      </c>
      <c r="C262" s="1">
        <v>2017</v>
      </c>
      <c r="D262" s="1" t="s">
        <v>2219</v>
      </c>
      <c r="E262" s="1" t="s">
        <v>1903</v>
      </c>
      <c r="F262" s="1" t="s">
        <v>1795</v>
      </c>
      <c r="G262" s="1" t="s">
        <v>1795</v>
      </c>
      <c r="H262" s="1" t="s">
        <v>1855</v>
      </c>
      <c r="I262" s="2">
        <v>7</v>
      </c>
      <c r="J262" s="4">
        <f t="shared" si="4"/>
        <v>0.142857142857143</v>
      </c>
    </row>
    <row r="263" s="1" customFormat="1" spans="1:10">
      <c r="A263" s="1" t="s">
        <v>2217</v>
      </c>
      <c r="B263" s="1" t="s">
        <v>833</v>
      </c>
      <c r="C263" s="1">
        <v>2017</v>
      </c>
      <c r="D263" s="1" t="s">
        <v>2220</v>
      </c>
      <c r="E263" s="1" t="s">
        <v>1903</v>
      </c>
      <c r="F263" s="1" t="s">
        <v>1957</v>
      </c>
      <c r="G263" s="1" t="s">
        <v>1721</v>
      </c>
      <c r="H263" s="1" t="s">
        <v>1855</v>
      </c>
      <c r="I263" s="2">
        <v>7</v>
      </c>
      <c r="J263" s="4">
        <f t="shared" si="4"/>
        <v>0.142857142857143</v>
      </c>
    </row>
    <row r="264" s="1" customFormat="1" spans="1:10">
      <c r="A264" s="1" t="s">
        <v>2217</v>
      </c>
      <c r="B264" s="1" t="s">
        <v>833</v>
      </c>
      <c r="C264" s="1">
        <v>2017</v>
      </c>
      <c r="D264" s="1" t="s">
        <v>2221</v>
      </c>
      <c r="E264" s="1" t="s">
        <v>1903</v>
      </c>
      <c r="F264" s="1" t="s">
        <v>1797</v>
      </c>
      <c r="G264" s="1" t="s">
        <v>1797</v>
      </c>
      <c r="H264" s="1" t="s">
        <v>1865</v>
      </c>
      <c r="I264" s="2">
        <v>7</v>
      </c>
      <c r="J264" s="4">
        <f t="shared" si="4"/>
        <v>0.142857142857143</v>
      </c>
    </row>
    <row r="265" s="1" customFormat="1" spans="1:10">
      <c r="A265" s="1" t="s">
        <v>2217</v>
      </c>
      <c r="B265" s="1" t="s">
        <v>833</v>
      </c>
      <c r="C265" s="1">
        <v>2017</v>
      </c>
      <c r="D265" s="1" t="s">
        <v>2222</v>
      </c>
      <c r="E265" s="1" t="s">
        <v>1903</v>
      </c>
      <c r="F265" s="1" t="s">
        <v>1797</v>
      </c>
      <c r="G265" s="1" t="s">
        <v>1797</v>
      </c>
      <c r="H265" s="1" t="s">
        <v>1865</v>
      </c>
      <c r="I265" s="2">
        <v>7</v>
      </c>
      <c r="J265" s="4">
        <f t="shared" si="4"/>
        <v>0.142857142857143</v>
      </c>
    </row>
    <row r="266" s="1" customFormat="1" spans="1:10">
      <c r="A266" s="1" t="s">
        <v>2217</v>
      </c>
      <c r="B266" s="1" t="s">
        <v>833</v>
      </c>
      <c r="C266" s="1">
        <v>2017</v>
      </c>
      <c r="D266" s="1" t="s">
        <v>1918</v>
      </c>
      <c r="E266" s="1" t="s">
        <v>1903</v>
      </c>
      <c r="F266" s="1" t="s">
        <v>1957</v>
      </c>
      <c r="G266" s="1" t="s">
        <v>1721</v>
      </c>
      <c r="H266" s="1" t="s">
        <v>1855</v>
      </c>
      <c r="I266" s="2">
        <v>7</v>
      </c>
      <c r="J266" s="4">
        <f t="shared" si="4"/>
        <v>0.142857142857143</v>
      </c>
    </row>
    <row r="267" s="1" customFormat="1" spans="1:10">
      <c r="A267" s="1" t="s">
        <v>2217</v>
      </c>
      <c r="B267" s="1" t="s">
        <v>833</v>
      </c>
      <c r="C267" s="1">
        <v>2017</v>
      </c>
      <c r="D267" s="1" t="s">
        <v>2223</v>
      </c>
      <c r="E267" s="1" t="s">
        <v>1905</v>
      </c>
      <c r="F267" s="1" t="s">
        <v>1957</v>
      </c>
      <c r="G267" s="1" t="s">
        <v>1721</v>
      </c>
      <c r="H267" s="1" t="s">
        <v>1855</v>
      </c>
      <c r="I267" s="2">
        <v>7</v>
      </c>
      <c r="J267" s="4">
        <f t="shared" si="4"/>
        <v>0.142857142857143</v>
      </c>
    </row>
    <row r="268" s="1" customFormat="1" spans="1:10">
      <c r="A268" s="1" t="s">
        <v>2224</v>
      </c>
      <c r="B268" s="1" t="s">
        <v>851</v>
      </c>
      <c r="C268" s="1">
        <v>2016</v>
      </c>
      <c r="D268" s="1" t="s">
        <v>2225</v>
      </c>
      <c r="E268" s="1" t="s">
        <v>1900</v>
      </c>
      <c r="F268" s="1" t="s">
        <v>1834</v>
      </c>
      <c r="G268" s="1" t="s">
        <v>1834</v>
      </c>
      <c r="H268" s="1" t="s">
        <v>1861</v>
      </c>
      <c r="I268" s="2">
        <v>4</v>
      </c>
      <c r="J268" s="4">
        <f t="shared" si="4"/>
        <v>0.25</v>
      </c>
    </row>
    <row r="269" s="1" customFormat="1" spans="1:10">
      <c r="A269" s="1" t="s">
        <v>2224</v>
      </c>
      <c r="B269" s="1" t="s">
        <v>851</v>
      </c>
      <c r="C269" s="1">
        <v>2016</v>
      </c>
      <c r="D269" s="1" t="s">
        <v>2226</v>
      </c>
      <c r="E269" s="1" t="s">
        <v>1903</v>
      </c>
      <c r="F269" s="1" t="s">
        <v>1824</v>
      </c>
      <c r="G269" s="1" t="s">
        <v>1824</v>
      </c>
      <c r="H269" s="1" t="s">
        <v>1861</v>
      </c>
      <c r="I269" s="2">
        <v>4</v>
      </c>
      <c r="J269" s="4">
        <f t="shared" si="4"/>
        <v>0.25</v>
      </c>
    </row>
    <row r="270" s="1" customFormat="1" spans="1:10">
      <c r="A270" s="1" t="s">
        <v>2224</v>
      </c>
      <c r="B270" s="1" t="s">
        <v>851</v>
      </c>
      <c r="C270" s="1">
        <v>2016</v>
      </c>
      <c r="D270" s="1" t="s">
        <v>2227</v>
      </c>
      <c r="E270" s="1" t="s">
        <v>1903</v>
      </c>
      <c r="F270" s="1" t="s">
        <v>1836</v>
      </c>
      <c r="G270" s="1" t="s">
        <v>1836</v>
      </c>
      <c r="H270" s="1" t="s">
        <v>1854</v>
      </c>
      <c r="I270" s="2">
        <v>4</v>
      </c>
      <c r="J270" s="4">
        <f t="shared" si="4"/>
        <v>0.25</v>
      </c>
    </row>
    <row r="271" s="1" customFormat="1" spans="1:10">
      <c r="A271" s="1" t="s">
        <v>2224</v>
      </c>
      <c r="B271" s="1" t="s">
        <v>851</v>
      </c>
      <c r="C271" s="1">
        <v>2016</v>
      </c>
      <c r="D271" s="1" t="s">
        <v>1976</v>
      </c>
      <c r="E271" s="1" t="s">
        <v>1905</v>
      </c>
      <c r="F271" s="1" t="s">
        <v>1825</v>
      </c>
      <c r="G271" s="1" t="s">
        <v>1825</v>
      </c>
      <c r="H271" s="1" t="s">
        <v>1861</v>
      </c>
      <c r="I271" s="2">
        <v>4</v>
      </c>
      <c r="J271" s="4">
        <f t="shared" si="4"/>
        <v>0.25</v>
      </c>
    </row>
    <row r="272" s="1" customFormat="1" spans="1:10">
      <c r="A272" s="1" t="s">
        <v>2228</v>
      </c>
      <c r="B272" s="1" t="s">
        <v>26</v>
      </c>
      <c r="C272" s="1">
        <v>2018</v>
      </c>
      <c r="D272" s="1" t="s">
        <v>2229</v>
      </c>
      <c r="E272" s="1" t="s">
        <v>1900</v>
      </c>
      <c r="F272" s="1" t="s">
        <v>1762</v>
      </c>
      <c r="G272" s="1" t="s">
        <v>1762</v>
      </c>
      <c r="H272" s="1" t="s">
        <v>1883</v>
      </c>
      <c r="I272" s="2">
        <v>6</v>
      </c>
      <c r="J272" s="4">
        <f t="shared" si="4"/>
        <v>0.166666666666667</v>
      </c>
    </row>
    <row r="273" s="1" customFormat="1" spans="1:10">
      <c r="A273" s="1" t="s">
        <v>2228</v>
      </c>
      <c r="B273" s="1" t="s">
        <v>26</v>
      </c>
      <c r="C273" s="1">
        <v>2018</v>
      </c>
      <c r="D273" s="1" t="s">
        <v>2230</v>
      </c>
      <c r="E273" s="1" t="s">
        <v>1903</v>
      </c>
      <c r="F273" s="1" t="s">
        <v>1762</v>
      </c>
      <c r="G273" s="1" t="s">
        <v>1762</v>
      </c>
      <c r="H273" s="1" t="s">
        <v>1883</v>
      </c>
      <c r="I273" s="2">
        <v>6</v>
      </c>
      <c r="J273" s="4">
        <f t="shared" si="4"/>
        <v>0.166666666666667</v>
      </c>
    </row>
    <row r="274" s="1" customFormat="1" spans="1:10">
      <c r="A274" s="1" t="s">
        <v>2228</v>
      </c>
      <c r="B274" s="1" t="s">
        <v>26</v>
      </c>
      <c r="C274" s="1">
        <v>2018</v>
      </c>
      <c r="D274" s="1" t="s">
        <v>2231</v>
      </c>
      <c r="E274" s="1" t="s">
        <v>1903</v>
      </c>
      <c r="F274" s="1" t="s">
        <v>1762</v>
      </c>
      <c r="G274" s="1" t="s">
        <v>1762</v>
      </c>
      <c r="H274" s="1" t="s">
        <v>1883</v>
      </c>
      <c r="I274" s="2">
        <v>6</v>
      </c>
      <c r="J274" s="4">
        <f t="shared" si="4"/>
        <v>0.166666666666667</v>
      </c>
    </row>
    <row r="275" s="1" customFormat="1" spans="1:10">
      <c r="A275" s="1" t="s">
        <v>2228</v>
      </c>
      <c r="B275" s="1" t="s">
        <v>26</v>
      </c>
      <c r="C275" s="1">
        <v>2018</v>
      </c>
      <c r="D275" s="1" t="s">
        <v>2232</v>
      </c>
      <c r="E275" s="1" t="s">
        <v>1903</v>
      </c>
      <c r="F275" s="1" t="s">
        <v>1762</v>
      </c>
      <c r="G275" s="1" t="s">
        <v>1762</v>
      </c>
      <c r="H275" s="1" t="s">
        <v>1883</v>
      </c>
      <c r="I275" s="2">
        <v>6</v>
      </c>
      <c r="J275" s="4">
        <f t="shared" si="4"/>
        <v>0.166666666666667</v>
      </c>
    </row>
    <row r="276" s="1" customFormat="1" spans="1:10">
      <c r="A276" s="1" t="s">
        <v>2228</v>
      </c>
      <c r="B276" s="1" t="s">
        <v>26</v>
      </c>
      <c r="C276" s="1">
        <v>2018</v>
      </c>
      <c r="D276" s="1" t="s">
        <v>2233</v>
      </c>
      <c r="E276" s="1" t="s">
        <v>1903</v>
      </c>
      <c r="F276" s="1" t="s">
        <v>1802</v>
      </c>
      <c r="G276" s="1" t="s">
        <v>1802</v>
      </c>
      <c r="H276" s="1" t="s">
        <v>1887</v>
      </c>
      <c r="I276" s="2">
        <v>6</v>
      </c>
      <c r="J276" s="4">
        <f t="shared" si="4"/>
        <v>0.166666666666667</v>
      </c>
    </row>
    <row r="277" s="1" customFormat="1" spans="1:10">
      <c r="A277" s="1" t="s">
        <v>2228</v>
      </c>
      <c r="B277" s="1" t="s">
        <v>26</v>
      </c>
      <c r="C277" s="1">
        <v>2018</v>
      </c>
      <c r="D277" s="1" t="s">
        <v>2234</v>
      </c>
      <c r="E277" s="1" t="s">
        <v>1905</v>
      </c>
      <c r="F277" s="1" t="s">
        <v>1802</v>
      </c>
      <c r="G277" s="1" t="s">
        <v>1802</v>
      </c>
      <c r="H277" s="1" t="s">
        <v>1887</v>
      </c>
      <c r="I277" s="2">
        <v>6</v>
      </c>
      <c r="J277" s="4">
        <f t="shared" si="4"/>
        <v>0.166666666666667</v>
      </c>
    </row>
    <row r="278" s="1" customFormat="1" spans="1:10">
      <c r="A278" s="1" t="s">
        <v>2235</v>
      </c>
      <c r="B278" s="1" t="s">
        <v>376</v>
      </c>
      <c r="C278" s="1">
        <v>2019</v>
      </c>
      <c r="D278" s="1" t="s">
        <v>2236</v>
      </c>
      <c r="E278" s="1" t="s">
        <v>1900</v>
      </c>
      <c r="F278" s="1" t="s">
        <v>1779</v>
      </c>
      <c r="G278" s="1" t="s">
        <v>1779</v>
      </c>
      <c r="H278" s="1" t="s">
        <v>1854</v>
      </c>
      <c r="I278" s="2">
        <v>6</v>
      </c>
      <c r="J278" s="4">
        <f t="shared" si="4"/>
        <v>0.166666666666667</v>
      </c>
    </row>
    <row r="279" s="1" customFormat="1" spans="1:10">
      <c r="A279" s="1" t="s">
        <v>2235</v>
      </c>
      <c r="B279" s="1" t="s">
        <v>376</v>
      </c>
      <c r="C279" s="1">
        <v>2019</v>
      </c>
      <c r="D279" s="1" t="s">
        <v>2237</v>
      </c>
      <c r="E279" s="1" t="s">
        <v>1903</v>
      </c>
      <c r="F279" s="1" t="s">
        <v>1779</v>
      </c>
      <c r="G279" s="1" t="s">
        <v>1779</v>
      </c>
      <c r="H279" s="1" t="s">
        <v>1854</v>
      </c>
      <c r="I279" s="2">
        <v>6</v>
      </c>
      <c r="J279" s="4">
        <f t="shared" si="4"/>
        <v>0.166666666666667</v>
      </c>
    </row>
    <row r="280" s="1" customFormat="1" spans="1:10">
      <c r="A280" s="1" t="s">
        <v>2235</v>
      </c>
      <c r="B280" s="1" t="s">
        <v>376</v>
      </c>
      <c r="C280" s="1">
        <v>2019</v>
      </c>
      <c r="D280" s="1" t="s">
        <v>2238</v>
      </c>
      <c r="E280" s="1" t="s">
        <v>1903</v>
      </c>
      <c r="F280" s="1" t="s">
        <v>1779</v>
      </c>
      <c r="G280" s="1" t="s">
        <v>1779</v>
      </c>
      <c r="H280" s="1" t="s">
        <v>1854</v>
      </c>
      <c r="I280" s="2">
        <v>6</v>
      </c>
      <c r="J280" s="4">
        <f t="shared" si="4"/>
        <v>0.166666666666667</v>
      </c>
    </row>
    <row r="281" s="1" customFormat="1" spans="1:10">
      <c r="A281" s="1" t="s">
        <v>2235</v>
      </c>
      <c r="B281" s="1" t="s">
        <v>376</v>
      </c>
      <c r="C281" s="1">
        <v>2019</v>
      </c>
      <c r="D281" s="1" t="s">
        <v>2239</v>
      </c>
      <c r="E281" s="1" t="s">
        <v>1903</v>
      </c>
      <c r="F281" s="1" t="s">
        <v>1780</v>
      </c>
      <c r="G281" s="1" t="s">
        <v>1780</v>
      </c>
      <c r="H281" s="1" t="s">
        <v>1854</v>
      </c>
      <c r="I281" s="2">
        <v>6</v>
      </c>
      <c r="J281" s="4">
        <f t="shared" si="4"/>
        <v>0.166666666666667</v>
      </c>
    </row>
    <row r="282" s="1" customFormat="1" spans="1:10">
      <c r="A282" s="1" t="s">
        <v>2235</v>
      </c>
      <c r="B282" s="1" t="s">
        <v>376</v>
      </c>
      <c r="C282" s="1">
        <v>2019</v>
      </c>
      <c r="D282" s="1" t="s">
        <v>2240</v>
      </c>
      <c r="E282" s="1" t="s">
        <v>1903</v>
      </c>
      <c r="F282" s="1" t="s">
        <v>1780</v>
      </c>
      <c r="G282" s="1" t="s">
        <v>1780</v>
      </c>
      <c r="H282" s="1" t="s">
        <v>1854</v>
      </c>
      <c r="I282" s="2">
        <v>6</v>
      </c>
      <c r="J282" s="4">
        <f t="shared" si="4"/>
        <v>0.166666666666667</v>
      </c>
    </row>
    <row r="283" s="1" customFormat="1" spans="1:10">
      <c r="A283" s="1" t="s">
        <v>2235</v>
      </c>
      <c r="B283" s="1" t="s">
        <v>376</v>
      </c>
      <c r="C283" s="1">
        <v>2019</v>
      </c>
      <c r="D283" s="1" t="s">
        <v>2241</v>
      </c>
      <c r="E283" s="1" t="s">
        <v>1905</v>
      </c>
      <c r="F283" s="1" t="s">
        <v>1780</v>
      </c>
      <c r="G283" s="1" t="s">
        <v>1780</v>
      </c>
      <c r="H283" s="1" t="s">
        <v>1854</v>
      </c>
      <c r="I283" s="2">
        <v>6</v>
      </c>
      <c r="J283" s="4">
        <f t="shared" si="4"/>
        <v>0.166666666666667</v>
      </c>
    </row>
    <row r="284" s="1" customFormat="1" spans="1:10">
      <c r="A284" s="1" t="s">
        <v>2242</v>
      </c>
      <c r="B284" s="1" t="s">
        <v>592</v>
      </c>
      <c r="C284" s="1">
        <v>2019</v>
      </c>
      <c r="D284" s="1" t="s">
        <v>2243</v>
      </c>
      <c r="E284" s="1" t="s">
        <v>1900</v>
      </c>
      <c r="F284" s="1" t="s">
        <v>1735</v>
      </c>
      <c r="G284" s="1" t="s">
        <v>1735</v>
      </c>
      <c r="H284" s="1" t="s">
        <v>1876</v>
      </c>
      <c r="I284" s="2">
        <v>2</v>
      </c>
      <c r="J284" s="4">
        <f t="shared" si="4"/>
        <v>0.5</v>
      </c>
    </row>
    <row r="285" s="1" customFormat="1" spans="1:10">
      <c r="A285" s="1" t="s">
        <v>2242</v>
      </c>
      <c r="B285" s="1" t="s">
        <v>592</v>
      </c>
      <c r="C285" s="1">
        <v>2019</v>
      </c>
      <c r="D285" s="1" t="s">
        <v>2244</v>
      </c>
      <c r="E285" s="1" t="s">
        <v>1905</v>
      </c>
      <c r="F285" s="1" t="s">
        <v>1735</v>
      </c>
      <c r="G285" s="1" t="s">
        <v>1735</v>
      </c>
      <c r="H285" s="1" t="s">
        <v>1876</v>
      </c>
      <c r="I285" s="2">
        <v>2</v>
      </c>
      <c r="J285" s="4">
        <f t="shared" si="4"/>
        <v>0.5</v>
      </c>
    </row>
    <row r="286" s="1" customFormat="1" spans="1:10">
      <c r="A286" s="1" t="s">
        <v>2245</v>
      </c>
      <c r="B286" s="1" t="s">
        <v>636</v>
      </c>
      <c r="C286" s="1">
        <v>2019</v>
      </c>
      <c r="D286" s="1" t="s">
        <v>2246</v>
      </c>
      <c r="E286" s="1" t="s">
        <v>1900</v>
      </c>
      <c r="F286" s="1" t="s">
        <v>1756</v>
      </c>
      <c r="G286" s="1" t="s">
        <v>1756</v>
      </c>
      <c r="H286" s="1" t="s">
        <v>1861</v>
      </c>
      <c r="I286" s="2">
        <v>4</v>
      </c>
      <c r="J286" s="4">
        <f t="shared" si="4"/>
        <v>0.25</v>
      </c>
    </row>
    <row r="287" s="1" customFormat="1" spans="1:10">
      <c r="A287" s="1" t="s">
        <v>2245</v>
      </c>
      <c r="B287" s="1" t="s">
        <v>636</v>
      </c>
      <c r="C287" s="1">
        <v>2019</v>
      </c>
      <c r="D287" s="1" t="s">
        <v>2247</v>
      </c>
      <c r="E287" s="1" t="s">
        <v>1903</v>
      </c>
      <c r="F287" s="1" t="s">
        <v>1756</v>
      </c>
      <c r="G287" s="1" t="s">
        <v>1756</v>
      </c>
      <c r="H287" s="1" t="s">
        <v>1861</v>
      </c>
      <c r="I287" s="2">
        <v>4</v>
      </c>
      <c r="J287" s="4">
        <f t="shared" si="4"/>
        <v>0.25</v>
      </c>
    </row>
    <row r="288" s="1" customFormat="1" spans="1:10">
      <c r="A288" s="1" t="s">
        <v>2245</v>
      </c>
      <c r="B288" s="1" t="s">
        <v>636</v>
      </c>
      <c r="C288" s="1">
        <v>2019</v>
      </c>
      <c r="D288" s="1" t="s">
        <v>2248</v>
      </c>
      <c r="E288" s="1" t="s">
        <v>1903</v>
      </c>
      <c r="F288" s="1" t="s">
        <v>1705</v>
      </c>
      <c r="G288" s="1" t="s">
        <v>1705</v>
      </c>
      <c r="H288" s="1" t="s">
        <v>1858</v>
      </c>
      <c r="I288" s="2">
        <v>4</v>
      </c>
      <c r="J288" s="4">
        <f t="shared" si="4"/>
        <v>0.25</v>
      </c>
    </row>
    <row r="289" s="1" customFormat="1" spans="1:10">
      <c r="A289" s="1" t="s">
        <v>2245</v>
      </c>
      <c r="B289" s="1" t="s">
        <v>636</v>
      </c>
      <c r="C289" s="1">
        <v>2019</v>
      </c>
      <c r="D289" s="1" t="s">
        <v>2068</v>
      </c>
      <c r="E289" s="1" t="s">
        <v>1905</v>
      </c>
      <c r="F289" s="1" t="s">
        <v>1756</v>
      </c>
      <c r="G289" s="1" t="s">
        <v>1756</v>
      </c>
      <c r="H289" s="1" t="s">
        <v>1861</v>
      </c>
      <c r="I289" s="2">
        <v>4</v>
      </c>
      <c r="J289" s="4">
        <f t="shared" si="4"/>
        <v>0.25</v>
      </c>
    </row>
    <row r="290" s="1" customFormat="1" spans="1:10">
      <c r="A290" s="1" t="s">
        <v>2249</v>
      </c>
      <c r="B290" s="1" t="s">
        <v>344</v>
      </c>
      <c r="C290" s="1">
        <v>2019</v>
      </c>
      <c r="D290" s="1" t="s">
        <v>2250</v>
      </c>
      <c r="E290" s="1" t="s">
        <v>1900</v>
      </c>
      <c r="F290" s="1" t="s">
        <v>1758</v>
      </c>
      <c r="G290" s="1" t="s">
        <v>1758</v>
      </c>
      <c r="H290" s="1" t="s">
        <v>1880</v>
      </c>
      <c r="I290" s="2">
        <v>4</v>
      </c>
      <c r="J290" s="4">
        <f t="shared" si="4"/>
        <v>0.25</v>
      </c>
    </row>
    <row r="291" s="1" customFormat="1" spans="1:10">
      <c r="A291" s="1" t="s">
        <v>2249</v>
      </c>
      <c r="B291" s="1" t="s">
        <v>344</v>
      </c>
      <c r="C291" s="1">
        <v>2019</v>
      </c>
      <c r="D291" s="1" t="s">
        <v>2251</v>
      </c>
      <c r="E291" s="1" t="s">
        <v>1903</v>
      </c>
      <c r="F291" s="1" t="s">
        <v>1758</v>
      </c>
      <c r="G291" s="1" t="s">
        <v>1758</v>
      </c>
      <c r="H291" s="1" t="s">
        <v>1880</v>
      </c>
      <c r="I291" s="2">
        <v>4</v>
      </c>
      <c r="J291" s="4">
        <f t="shared" si="4"/>
        <v>0.25</v>
      </c>
    </row>
    <row r="292" s="1" customFormat="1" spans="1:10">
      <c r="A292" s="1" t="s">
        <v>2249</v>
      </c>
      <c r="B292" s="1" t="s">
        <v>344</v>
      </c>
      <c r="C292" s="1">
        <v>2019</v>
      </c>
      <c r="D292" s="1" t="s">
        <v>2252</v>
      </c>
      <c r="E292" s="1" t="s">
        <v>1903</v>
      </c>
      <c r="F292" s="1" t="s">
        <v>1758</v>
      </c>
      <c r="G292" s="1" t="s">
        <v>1758</v>
      </c>
      <c r="H292" s="1" t="s">
        <v>1880</v>
      </c>
      <c r="I292" s="2">
        <v>4</v>
      </c>
      <c r="J292" s="4">
        <f t="shared" si="4"/>
        <v>0.25</v>
      </c>
    </row>
    <row r="293" s="1" customFormat="1" spans="1:10">
      <c r="A293" s="1" t="s">
        <v>2249</v>
      </c>
      <c r="B293" s="1" t="s">
        <v>344</v>
      </c>
      <c r="C293" s="1">
        <v>2019</v>
      </c>
      <c r="D293" s="1" t="s">
        <v>1967</v>
      </c>
      <c r="E293" s="1" t="s">
        <v>1905</v>
      </c>
      <c r="F293" s="1" t="s">
        <v>1754</v>
      </c>
      <c r="G293" s="1" t="s">
        <v>1754</v>
      </c>
      <c r="H293" s="1" t="s">
        <v>1869</v>
      </c>
      <c r="I293" s="2">
        <v>4</v>
      </c>
      <c r="J293" s="4">
        <f t="shared" si="4"/>
        <v>0.25</v>
      </c>
    </row>
    <row r="294" s="1" customFormat="1" spans="1:10">
      <c r="A294" s="1" t="s">
        <v>2253</v>
      </c>
      <c r="B294" s="1" t="s">
        <v>413</v>
      </c>
      <c r="C294" s="1">
        <v>2019</v>
      </c>
      <c r="D294" s="1" t="s">
        <v>2254</v>
      </c>
      <c r="E294" s="1" t="s">
        <v>1900</v>
      </c>
      <c r="F294" s="1" t="s">
        <v>1812</v>
      </c>
      <c r="G294" s="1" t="s">
        <v>1812</v>
      </c>
      <c r="H294" s="1" t="s">
        <v>1861</v>
      </c>
      <c r="I294" s="2">
        <v>3</v>
      </c>
      <c r="J294" s="4">
        <f t="shared" si="4"/>
        <v>0.333333333333333</v>
      </c>
    </row>
    <row r="295" s="1" customFormat="1" spans="1:10">
      <c r="A295" s="1" t="s">
        <v>2253</v>
      </c>
      <c r="B295" s="1" t="s">
        <v>413</v>
      </c>
      <c r="C295" s="1">
        <v>2019</v>
      </c>
      <c r="D295" s="1" t="s">
        <v>2255</v>
      </c>
      <c r="E295" s="1" t="s">
        <v>1903</v>
      </c>
      <c r="F295" s="1" t="s">
        <v>1767</v>
      </c>
      <c r="G295" s="1" t="s">
        <v>1767</v>
      </c>
      <c r="H295" s="1" t="s">
        <v>1861</v>
      </c>
      <c r="I295" s="2">
        <v>3</v>
      </c>
      <c r="J295" s="4">
        <f t="shared" si="4"/>
        <v>0.333333333333333</v>
      </c>
    </row>
    <row r="296" s="1" customFormat="1" spans="1:10">
      <c r="A296" s="1" t="s">
        <v>2253</v>
      </c>
      <c r="B296" s="1" t="s">
        <v>413</v>
      </c>
      <c r="C296" s="1">
        <v>2019</v>
      </c>
      <c r="D296" s="1" t="s">
        <v>2256</v>
      </c>
      <c r="E296" s="1" t="s">
        <v>1905</v>
      </c>
      <c r="F296" s="1" t="s">
        <v>1767</v>
      </c>
      <c r="G296" s="1" t="s">
        <v>1767</v>
      </c>
      <c r="H296" s="1" t="s">
        <v>1861</v>
      </c>
      <c r="I296" s="2">
        <v>3</v>
      </c>
      <c r="J296" s="4">
        <f t="shared" si="4"/>
        <v>0.333333333333333</v>
      </c>
    </row>
    <row r="297" s="1" customFormat="1" spans="1:10">
      <c r="A297" s="1" t="s">
        <v>2257</v>
      </c>
      <c r="B297" s="1" t="s">
        <v>68</v>
      </c>
      <c r="C297" s="1">
        <v>2019</v>
      </c>
      <c r="D297" s="1" t="s">
        <v>2258</v>
      </c>
      <c r="E297" s="1" t="s">
        <v>1900</v>
      </c>
      <c r="F297" s="1" t="s">
        <v>1785</v>
      </c>
      <c r="G297" s="1" t="s">
        <v>1785</v>
      </c>
      <c r="H297" s="1" t="s">
        <v>1881</v>
      </c>
      <c r="I297" s="2">
        <v>4</v>
      </c>
      <c r="J297" s="4">
        <f t="shared" si="4"/>
        <v>0.25</v>
      </c>
    </row>
    <row r="298" s="1" customFormat="1" spans="1:10">
      <c r="A298" s="1" t="s">
        <v>2257</v>
      </c>
      <c r="B298" s="1" t="s">
        <v>68</v>
      </c>
      <c r="C298" s="1">
        <v>2019</v>
      </c>
      <c r="D298" s="1" t="s">
        <v>2259</v>
      </c>
      <c r="E298" s="1" t="s">
        <v>1903</v>
      </c>
      <c r="F298" s="1" t="s">
        <v>1785</v>
      </c>
      <c r="G298" s="1" t="s">
        <v>1785</v>
      </c>
      <c r="H298" s="1" t="s">
        <v>1881</v>
      </c>
      <c r="I298" s="2">
        <v>4</v>
      </c>
      <c r="J298" s="4">
        <f t="shared" si="4"/>
        <v>0.25</v>
      </c>
    </row>
    <row r="299" s="1" customFormat="1" spans="1:10">
      <c r="A299" s="1" t="s">
        <v>2257</v>
      </c>
      <c r="B299" s="1" t="s">
        <v>68</v>
      </c>
      <c r="C299" s="1">
        <v>2019</v>
      </c>
      <c r="D299" s="1" t="s">
        <v>2260</v>
      </c>
      <c r="E299" s="1" t="s">
        <v>1903</v>
      </c>
      <c r="F299" s="1" t="s">
        <v>1827</v>
      </c>
      <c r="G299" s="1" t="s">
        <v>1827</v>
      </c>
      <c r="H299" s="1" t="s">
        <v>1853</v>
      </c>
      <c r="I299" s="2">
        <v>4</v>
      </c>
      <c r="J299" s="4">
        <f t="shared" si="4"/>
        <v>0.25</v>
      </c>
    </row>
    <row r="300" s="1" customFormat="1" spans="1:10">
      <c r="A300" s="1" t="s">
        <v>2257</v>
      </c>
      <c r="B300" s="1" t="s">
        <v>68</v>
      </c>
      <c r="C300" s="1">
        <v>2019</v>
      </c>
      <c r="D300" s="1" t="s">
        <v>2261</v>
      </c>
      <c r="E300" s="1" t="s">
        <v>1905</v>
      </c>
      <c r="F300" s="1" t="s">
        <v>1832</v>
      </c>
      <c r="G300" s="1" t="s">
        <v>1832</v>
      </c>
      <c r="H300" s="1" t="s">
        <v>1881</v>
      </c>
      <c r="I300" s="2">
        <v>4</v>
      </c>
      <c r="J300" s="4">
        <f t="shared" si="4"/>
        <v>0.25</v>
      </c>
    </row>
    <row r="301" s="1" customFormat="1" spans="1:10">
      <c r="A301" s="1" t="s">
        <v>2262</v>
      </c>
      <c r="B301" s="1" t="s">
        <v>72</v>
      </c>
      <c r="C301" s="1">
        <v>2019</v>
      </c>
      <c r="D301" s="1" t="s">
        <v>2263</v>
      </c>
      <c r="E301" s="1" t="s">
        <v>1900</v>
      </c>
      <c r="F301" s="1" t="s">
        <v>1728</v>
      </c>
      <c r="G301" s="1" t="s">
        <v>1728</v>
      </c>
      <c r="H301" s="1" t="s">
        <v>1878</v>
      </c>
      <c r="I301" s="2">
        <v>2</v>
      </c>
      <c r="J301" s="4">
        <f t="shared" si="4"/>
        <v>0.5</v>
      </c>
    </row>
    <row r="302" s="1" customFormat="1" spans="1:10">
      <c r="A302" s="1" t="s">
        <v>2262</v>
      </c>
      <c r="B302" s="1" t="s">
        <v>72</v>
      </c>
      <c r="C302" s="1">
        <v>2019</v>
      </c>
      <c r="D302" s="1" t="s">
        <v>2264</v>
      </c>
      <c r="E302" s="1" t="s">
        <v>1905</v>
      </c>
      <c r="F302" s="1" t="s">
        <v>1728</v>
      </c>
      <c r="G302" s="1" t="s">
        <v>1728</v>
      </c>
      <c r="H302" s="1" t="s">
        <v>1878</v>
      </c>
      <c r="I302" s="2">
        <v>2</v>
      </c>
      <c r="J302" s="4">
        <f t="shared" si="4"/>
        <v>0.5</v>
      </c>
    </row>
    <row r="303" s="1" customFormat="1" spans="1:10">
      <c r="A303" s="1" t="s">
        <v>2265</v>
      </c>
      <c r="B303" s="1" t="s">
        <v>126</v>
      </c>
      <c r="C303" s="1">
        <v>2019</v>
      </c>
      <c r="D303" s="1" t="s">
        <v>2266</v>
      </c>
      <c r="E303" s="1" t="s">
        <v>1900</v>
      </c>
      <c r="F303" s="1" t="s">
        <v>1745</v>
      </c>
      <c r="G303" s="1" t="s">
        <v>1745</v>
      </c>
      <c r="H303" s="1" t="s">
        <v>1863</v>
      </c>
      <c r="I303" s="2">
        <v>3</v>
      </c>
      <c r="J303" s="4">
        <f t="shared" si="4"/>
        <v>0.333333333333333</v>
      </c>
    </row>
    <row r="304" s="1" customFormat="1" spans="1:10">
      <c r="A304" s="1" t="s">
        <v>2265</v>
      </c>
      <c r="B304" s="1" t="s">
        <v>126</v>
      </c>
      <c r="C304" s="1">
        <v>2019</v>
      </c>
      <c r="D304" s="1" t="s">
        <v>2267</v>
      </c>
      <c r="E304" s="1" t="s">
        <v>1903</v>
      </c>
      <c r="F304" s="1" t="s">
        <v>1745</v>
      </c>
      <c r="G304" s="1" t="s">
        <v>1745</v>
      </c>
      <c r="H304" s="1" t="s">
        <v>1863</v>
      </c>
      <c r="I304" s="2">
        <v>3</v>
      </c>
      <c r="J304" s="4">
        <f t="shared" si="4"/>
        <v>0.333333333333333</v>
      </c>
    </row>
    <row r="305" s="1" customFormat="1" spans="1:10">
      <c r="A305" s="1" t="s">
        <v>2265</v>
      </c>
      <c r="B305" s="1" t="s">
        <v>126</v>
      </c>
      <c r="C305" s="1">
        <v>2019</v>
      </c>
      <c r="D305" s="1" t="s">
        <v>2268</v>
      </c>
      <c r="E305" s="1" t="s">
        <v>1905</v>
      </c>
      <c r="F305" s="1" t="s">
        <v>1745</v>
      </c>
      <c r="G305" s="1" t="s">
        <v>1745</v>
      </c>
      <c r="H305" s="1" t="s">
        <v>1863</v>
      </c>
      <c r="I305" s="2">
        <v>3</v>
      </c>
      <c r="J305" s="4">
        <f t="shared" si="4"/>
        <v>0.333333333333333</v>
      </c>
    </row>
    <row r="306" s="1" customFormat="1" spans="1:10">
      <c r="A306" s="1" t="s">
        <v>2269</v>
      </c>
      <c r="B306" s="1" t="s">
        <v>813</v>
      </c>
      <c r="C306" s="1">
        <v>2019</v>
      </c>
      <c r="D306" s="1" t="s">
        <v>2270</v>
      </c>
      <c r="E306" s="1" t="s">
        <v>1900</v>
      </c>
      <c r="F306" s="1" t="s">
        <v>1724</v>
      </c>
      <c r="G306" s="1" t="s">
        <v>1724</v>
      </c>
      <c r="H306" s="1" t="s">
        <v>1857</v>
      </c>
      <c r="I306" s="2">
        <v>2</v>
      </c>
      <c r="J306" s="4">
        <f t="shared" si="4"/>
        <v>0.5</v>
      </c>
    </row>
    <row r="307" s="1" customFormat="1" spans="1:10">
      <c r="A307" s="1" t="s">
        <v>2269</v>
      </c>
      <c r="B307" s="1" t="s">
        <v>813</v>
      </c>
      <c r="C307" s="1">
        <v>2019</v>
      </c>
      <c r="D307" s="1" t="s">
        <v>2271</v>
      </c>
      <c r="E307" s="1" t="s">
        <v>1905</v>
      </c>
      <c r="F307" s="1" t="s">
        <v>1724</v>
      </c>
      <c r="G307" s="1" t="s">
        <v>1724</v>
      </c>
      <c r="H307" s="1" t="s">
        <v>1857</v>
      </c>
      <c r="I307" s="2">
        <v>2</v>
      </c>
      <c r="J307" s="4">
        <f t="shared" si="4"/>
        <v>0.5</v>
      </c>
    </row>
    <row r="308" s="1" customFormat="1" spans="1:10">
      <c r="A308" s="1" t="s">
        <v>2272</v>
      </c>
      <c r="B308" s="1" t="s">
        <v>574</v>
      </c>
      <c r="C308" s="1">
        <v>2017</v>
      </c>
      <c r="D308" s="1" t="s">
        <v>2037</v>
      </c>
      <c r="E308" s="1" t="s">
        <v>1900</v>
      </c>
      <c r="F308" s="1" t="s">
        <v>1781</v>
      </c>
      <c r="G308" s="1" t="s">
        <v>1781</v>
      </c>
      <c r="H308" s="1" t="s">
        <v>1853</v>
      </c>
      <c r="I308" s="2">
        <v>2</v>
      </c>
      <c r="J308" s="4">
        <f t="shared" si="4"/>
        <v>0.5</v>
      </c>
    </row>
    <row r="309" s="1" customFormat="1" spans="1:10">
      <c r="A309" s="1" t="s">
        <v>2272</v>
      </c>
      <c r="B309" s="1" t="s">
        <v>574</v>
      </c>
      <c r="C309" s="1">
        <v>2017</v>
      </c>
      <c r="D309" s="1" t="s">
        <v>2038</v>
      </c>
      <c r="E309" s="1" t="s">
        <v>1905</v>
      </c>
      <c r="F309" s="1" t="s">
        <v>1715</v>
      </c>
      <c r="G309" s="1" t="s">
        <v>1715</v>
      </c>
      <c r="H309" s="1" t="s">
        <v>1856</v>
      </c>
      <c r="I309" s="2">
        <v>2</v>
      </c>
      <c r="J309" s="4">
        <f t="shared" si="4"/>
        <v>0.5</v>
      </c>
    </row>
    <row r="310" s="1" customFormat="1" spans="1:10">
      <c r="A310" s="1" t="s">
        <v>2273</v>
      </c>
      <c r="B310" s="1" t="s">
        <v>572</v>
      </c>
      <c r="C310" s="1">
        <v>2018</v>
      </c>
      <c r="D310" s="1" t="s">
        <v>2274</v>
      </c>
      <c r="E310" s="1" t="s">
        <v>1900</v>
      </c>
      <c r="F310" s="1" t="s">
        <v>2275</v>
      </c>
      <c r="G310" s="1" t="s">
        <v>1765</v>
      </c>
      <c r="H310" s="1" t="s">
        <v>1873</v>
      </c>
      <c r="I310" s="2">
        <v>3</v>
      </c>
      <c r="J310" s="4">
        <f t="shared" si="4"/>
        <v>0.333333333333333</v>
      </c>
    </row>
    <row r="311" s="1" customFormat="1" spans="1:10">
      <c r="A311" s="1" t="s">
        <v>2273</v>
      </c>
      <c r="B311" s="1" t="s">
        <v>572</v>
      </c>
      <c r="C311" s="1">
        <v>2018</v>
      </c>
      <c r="D311" s="1" t="s">
        <v>2276</v>
      </c>
      <c r="E311" s="1" t="s">
        <v>1903</v>
      </c>
      <c r="F311" s="1" t="s">
        <v>1808</v>
      </c>
      <c r="G311" s="1" t="s">
        <v>1808</v>
      </c>
      <c r="H311" s="1" t="s">
        <v>1854</v>
      </c>
      <c r="I311" s="2">
        <v>3</v>
      </c>
      <c r="J311" s="4">
        <f t="shared" si="4"/>
        <v>0.333333333333333</v>
      </c>
    </row>
    <row r="312" s="1" customFormat="1" spans="1:10">
      <c r="A312" s="1" t="s">
        <v>2273</v>
      </c>
      <c r="B312" s="1" t="s">
        <v>572</v>
      </c>
      <c r="C312" s="1">
        <v>2018</v>
      </c>
      <c r="D312" s="1" t="s">
        <v>2277</v>
      </c>
      <c r="E312" s="1" t="s">
        <v>1905</v>
      </c>
      <c r="F312" s="1" t="s">
        <v>2275</v>
      </c>
      <c r="G312" s="1" t="s">
        <v>1765</v>
      </c>
      <c r="H312" s="1" t="s">
        <v>1873</v>
      </c>
      <c r="I312" s="2">
        <v>3</v>
      </c>
      <c r="J312" s="4">
        <f t="shared" si="4"/>
        <v>0.333333333333333</v>
      </c>
    </row>
    <row r="313" s="1" customFormat="1" spans="1:10">
      <c r="A313" s="1" t="s">
        <v>2278</v>
      </c>
      <c r="B313" s="1" t="s">
        <v>699</v>
      </c>
      <c r="C313" s="1">
        <v>2019</v>
      </c>
      <c r="D313" s="1" t="s">
        <v>2171</v>
      </c>
      <c r="E313" s="1" t="s">
        <v>1900</v>
      </c>
      <c r="F313" s="1" t="s">
        <v>1709</v>
      </c>
      <c r="G313" s="1" t="s">
        <v>1709</v>
      </c>
      <c r="H313" s="1" t="s">
        <v>1856</v>
      </c>
      <c r="I313" s="2">
        <v>3</v>
      </c>
      <c r="J313" s="4">
        <f t="shared" si="4"/>
        <v>0.333333333333333</v>
      </c>
    </row>
    <row r="314" s="1" customFormat="1" spans="1:10">
      <c r="A314" s="1" t="s">
        <v>2278</v>
      </c>
      <c r="B314" s="1" t="s">
        <v>699</v>
      </c>
      <c r="C314" s="1">
        <v>2019</v>
      </c>
      <c r="D314" s="1" t="s">
        <v>2170</v>
      </c>
      <c r="E314" s="1" t="s">
        <v>1903</v>
      </c>
      <c r="F314" s="1" t="s">
        <v>1709</v>
      </c>
      <c r="G314" s="1" t="s">
        <v>1709</v>
      </c>
      <c r="H314" s="1" t="s">
        <v>1856</v>
      </c>
      <c r="I314" s="2">
        <v>3</v>
      </c>
      <c r="J314" s="4">
        <f t="shared" si="4"/>
        <v>0.333333333333333</v>
      </c>
    </row>
    <row r="315" s="1" customFormat="1" spans="1:10">
      <c r="A315" s="1" t="s">
        <v>2278</v>
      </c>
      <c r="B315" s="1" t="s">
        <v>699</v>
      </c>
      <c r="C315" s="1">
        <v>2019</v>
      </c>
      <c r="D315" s="1" t="s">
        <v>2172</v>
      </c>
      <c r="E315" s="1" t="s">
        <v>1905</v>
      </c>
      <c r="F315" s="1" t="s">
        <v>1709</v>
      </c>
      <c r="G315" s="1" t="s">
        <v>1709</v>
      </c>
      <c r="H315" s="1" t="s">
        <v>1856</v>
      </c>
      <c r="I315" s="2">
        <v>3</v>
      </c>
      <c r="J315" s="4">
        <f t="shared" si="4"/>
        <v>0.333333333333333</v>
      </c>
    </row>
    <row r="316" s="1" customFormat="1" spans="1:10">
      <c r="A316" s="1" t="s">
        <v>2279</v>
      </c>
      <c r="B316" s="1" t="s">
        <v>634</v>
      </c>
      <c r="C316" s="1">
        <v>2020</v>
      </c>
      <c r="D316" s="1" t="s">
        <v>2280</v>
      </c>
      <c r="E316" s="1" t="s">
        <v>1900</v>
      </c>
      <c r="F316" s="1" t="s">
        <v>1709</v>
      </c>
      <c r="G316" s="1" t="s">
        <v>1709</v>
      </c>
      <c r="H316" s="1" t="s">
        <v>1856</v>
      </c>
      <c r="I316" s="2">
        <v>3</v>
      </c>
      <c r="J316" s="4">
        <f t="shared" si="4"/>
        <v>0.333333333333333</v>
      </c>
    </row>
    <row r="317" s="1" customFormat="1" spans="1:10">
      <c r="A317" s="1" t="s">
        <v>2279</v>
      </c>
      <c r="B317" s="1" t="s">
        <v>634</v>
      </c>
      <c r="C317" s="1">
        <v>2020</v>
      </c>
      <c r="D317" s="1" t="s">
        <v>2281</v>
      </c>
      <c r="E317" s="1" t="s">
        <v>1903</v>
      </c>
      <c r="F317" s="1" t="s">
        <v>1707</v>
      </c>
      <c r="G317" s="1" t="s">
        <v>1707</v>
      </c>
      <c r="H317" s="1" t="s">
        <v>1859</v>
      </c>
      <c r="I317" s="2">
        <v>3</v>
      </c>
      <c r="J317" s="4">
        <f t="shared" si="4"/>
        <v>0.333333333333333</v>
      </c>
    </row>
    <row r="318" s="1" customFormat="1" spans="1:10">
      <c r="A318" s="1" t="s">
        <v>2279</v>
      </c>
      <c r="B318" s="1" t="s">
        <v>634</v>
      </c>
      <c r="C318" s="1">
        <v>2020</v>
      </c>
      <c r="D318" s="1" t="s">
        <v>1916</v>
      </c>
      <c r="E318" s="1" t="s">
        <v>1905</v>
      </c>
      <c r="F318" s="1" t="s">
        <v>1707</v>
      </c>
      <c r="G318" s="1" t="s">
        <v>1707</v>
      </c>
      <c r="H318" s="1" t="s">
        <v>1859</v>
      </c>
      <c r="I318" s="2">
        <v>3</v>
      </c>
      <c r="J318" s="4">
        <f t="shared" si="4"/>
        <v>0.333333333333333</v>
      </c>
    </row>
    <row r="319" s="1" customFormat="1" spans="1:10">
      <c r="A319" s="1" t="s">
        <v>2282</v>
      </c>
      <c r="B319" s="1" t="s">
        <v>656</v>
      </c>
      <c r="C319" s="1">
        <v>2021</v>
      </c>
      <c r="D319" s="1" t="s">
        <v>2283</v>
      </c>
      <c r="E319" s="1" t="s">
        <v>1900</v>
      </c>
      <c r="F319" s="1" t="s">
        <v>1705</v>
      </c>
      <c r="G319" s="1" t="s">
        <v>1705</v>
      </c>
      <c r="H319" s="1" t="s">
        <v>1858</v>
      </c>
      <c r="I319" s="2">
        <v>3</v>
      </c>
      <c r="J319" s="4">
        <f t="shared" si="4"/>
        <v>0.333333333333333</v>
      </c>
    </row>
    <row r="320" s="1" customFormat="1" spans="1:10">
      <c r="A320" s="1" t="s">
        <v>2282</v>
      </c>
      <c r="B320" s="1" t="s">
        <v>656</v>
      </c>
      <c r="C320" s="1">
        <v>2021</v>
      </c>
      <c r="D320" s="1" t="s">
        <v>1924</v>
      </c>
      <c r="E320" s="1" t="s">
        <v>1903</v>
      </c>
      <c r="F320" s="1" t="s">
        <v>1705</v>
      </c>
      <c r="G320" s="1" t="s">
        <v>1705</v>
      </c>
      <c r="H320" s="1" t="s">
        <v>1858</v>
      </c>
      <c r="I320" s="2">
        <v>3</v>
      </c>
      <c r="J320" s="4">
        <f t="shared" si="4"/>
        <v>0.333333333333333</v>
      </c>
    </row>
    <row r="321" s="1" customFormat="1" spans="1:10">
      <c r="A321" s="1" t="s">
        <v>2282</v>
      </c>
      <c r="B321" s="1" t="s">
        <v>656</v>
      </c>
      <c r="C321" s="1">
        <v>2021</v>
      </c>
      <c r="D321" s="1" t="s">
        <v>2284</v>
      </c>
      <c r="E321" s="1" t="s">
        <v>1905</v>
      </c>
      <c r="F321" s="1" t="s">
        <v>1705</v>
      </c>
      <c r="G321" s="1" t="s">
        <v>1705</v>
      </c>
      <c r="H321" s="1" t="s">
        <v>1858</v>
      </c>
      <c r="I321" s="2">
        <v>3</v>
      </c>
      <c r="J321" s="4">
        <f t="shared" si="4"/>
        <v>0.333333333333333</v>
      </c>
    </row>
    <row r="322" s="1" customFormat="1" spans="1:10">
      <c r="A322" s="1" t="s">
        <v>2285</v>
      </c>
      <c r="B322" s="1" t="s">
        <v>717</v>
      </c>
      <c r="C322" s="1">
        <v>2020</v>
      </c>
      <c r="D322" s="1" t="s">
        <v>2286</v>
      </c>
      <c r="E322" s="1" t="s">
        <v>1900</v>
      </c>
      <c r="F322" s="1" t="s">
        <v>2287</v>
      </c>
      <c r="G322" s="1" t="s">
        <v>1727</v>
      </c>
      <c r="H322" s="1" t="s">
        <v>1856</v>
      </c>
      <c r="I322" s="2">
        <v>1</v>
      </c>
      <c r="J322" s="4">
        <f t="shared" ref="J322:J385" si="5">1/I322</f>
        <v>1</v>
      </c>
    </row>
    <row r="323" s="1" customFormat="1" spans="1:10">
      <c r="A323" s="1" t="s">
        <v>2288</v>
      </c>
      <c r="B323" s="1" t="s">
        <v>415</v>
      </c>
      <c r="C323" s="1">
        <v>2021</v>
      </c>
      <c r="D323" s="1" t="s">
        <v>2289</v>
      </c>
      <c r="E323" s="1" t="s">
        <v>1900</v>
      </c>
      <c r="F323" s="1" t="s">
        <v>1778</v>
      </c>
      <c r="G323" s="1" t="s">
        <v>1778</v>
      </c>
      <c r="H323" s="1" t="s">
        <v>1882</v>
      </c>
      <c r="I323" s="2">
        <v>6</v>
      </c>
      <c r="J323" s="4">
        <f t="shared" si="5"/>
        <v>0.166666666666667</v>
      </c>
    </row>
    <row r="324" s="1" customFormat="1" spans="1:10">
      <c r="A324" s="1" t="s">
        <v>2288</v>
      </c>
      <c r="B324" s="1" t="s">
        <v>415</v>
      </c>
      <c r="C324" s="1">
        <v>2021</v>
      </c>
      <c r="D324" s="1" t="s">
        <v>2290</v>
      </c>
      <c r="E324" s="1" t="s">
        <v>1903</v>
      </c>
      <c r="F324" s="1" t="s">
        <v>1778</v>
      </c>
      <c r="G324" s="1" t="s">
        <v>1778</v>
      </c>
      <c r="H324" s="1" t="s">
        <v>1882</v>
      </c>
      <c r="I324" s="2">
        <v>6</v>
      </c>
      <c r="J324" s="4">
        <f t="shared" si="5"/>
        <v>0.166666666666667</v>
      </c>
    </row>
    <row r="325" s="1" customFormat="1" spans="1:10">
      <c r="A325" s="1" t="s">
        <v>2288</v>
      </c>
      <c r="B325" s="1" t="s">
        <v>415</v>
      </c>
      <c r="C325" s="1">
        <v>2021</v>
      </c>
      <c r="D325" s="1" t="s">
        <v>2291</v>
      </c>
      <c r="E325" s="1" t="s">
        <v>1903</v>
      </c>
      <c r="F325" s="1" t="s">
        <v>2292</v>
      </c>
      <c r="G325" s="1" t="s">
        <v>1800</v>
      </c>
      <c r="H325" s="1" t="s">
        <v>1886</v>
      </c>
      <c r="I325" s="2">
        <v>6</v>
      </c>
      <c r="J325" s="4">
        <f t="shared" si="5"/>
        <v>0.166666666666667</v>
      </c>
    </row>
    <row r="326" s="1" customFormat="1" spans="1:10">
      <c r="A326" s="1" t="s">
        <v>2288</v>
      </c>
      <c r="B326" s="1" t="s">
        <v>415</v>
      </c>
      <c r="C326" s="1">
        <v>2021</v>
      </c>
      <c r="D326" s="1" t="s">
        <v>2293</v>
      </c>
      <c r="E326" s="1" t="s">
        <v>1903</v>
      </c>
      <c r="F326" s="1" t="s">
        <v>1778</v>
      </c>
      <c r="G326" s="1" t="s">
        <v>1778</v>
      </c>
      <c r="H326" s="1" t="s">
        <v>1882</v>
      </c>
      <c r="I326" s="2">
        <v>6</v>
      </c>
      <c r="J326" s="4">
        <f t="shared" si="5"/>
        <v>0.166666666666667</v>
      </c>
    </row>
    <row r="327" s="1" customFormat="1" spans="1:10">
      <c r="A327" s="1" t="s">
        <v>2288</v>
      </c>
      <c r="B327" s="1" t="s">
        <v>415</v>
      </c>
      <c r="C327" s="1">
        <v>2021</v>
      </c>
      <c r="D327" s="1" t="s">
        <v>2294</v>
      </c>
      <c r="E327" s="1" t="s">
        <v>1903</v>
      </c>
      <c r="F327" s="1" t="s">
        <v>2292</v>
      </c>
      <c r="G327" s="1" t="s">
        <v>1800</v>
      </c>
      <c r="H327" s="1" t="s">
        <v>1886</v>
      </c>
      <c r="I327" s="2">
        <v>6</v>
      </c>
      <c r="J327" s="4">
        <f t="shared" si="5"/>
        <v>0.166666666666667</v>
      </c>
    </row>
    <row r="328" s="1" customFormat="1" spans="1:10">
      <c r="A328" s="1" t="s">
        <v>2288</v>
      </c>
      <c r="B328" s="1" t="s">
        <v>415</v>
      </c>
      <c r="C328" s="1">
        <v>2021</v>
      </c>
      <c r="D328" s="1" t="s">
        <v>2295</v>
      </c>
      <c r="E328" s="1" t="s">
        <v>1905</v>
      </c>
      <c r="F328" s="1" t="s">
        <v>1841</v>
      </c>
      <c r="G328" s="1" t="s">
        <v>1841</v>
      </c>
      <c r="H328" s="1" t="s">
        <v>1882</v>
      </c>
      <c r="I328" s="2">
        <v>6</v>
      </c>
      <c r="J328" s="4">
        <f t="shared" si="5"/>
        <v>0.166666666666667</v>
      </c>
    </row>
    <row r="329" s="1" customFormat="1" spans="1:10">
      <c r="A329" s="1" t="s">
        <v>2296</v>
      </c>
      <c r="B329" s="1" t="s">
        <v>843</v>
      </c>
      <c r="C329" s="1">
        <v>2021</v>
      </c>
      <c r="D329" s="1" t="s">
        <v>2297</v>
      </c>
      <c r="E329" s="1" t="s">
        <v>1900</v>
      </c>
      <c r="F329" s="1" t="s">
        <v>1957</v>
      </c>
      <c r="G329" s="1" t="s">
        <v>1751</v>
      </c>
      <c r="H329" s="1" t="s">
        <v>1879</v>
      </c>
      <c r="I329" s="2">
        <v>6</v>
      </c>
      <c r="J329" s="4">
        <f t="shared" si="5"/>
        <v>0.166666666666667</v>
      </c>
    </row>
    <row r="330" s="1" customFormat="1" spans="1:10">
      <c r="A330" s="1" t="s">
        <v>2296</v>
      </c>
      <c r="B330" s="1" t="s">
        <v>843</v>
      </c>
      <c r="C330" s="1">
        <v>2021</v>
      </c>
      <c r="D330" s="1" t="s">
        <v>2298</v>
      </c>
      <c r="E330" s="1" t="s">
        <v>1903</v>
      </c>
      <c r="F330" s="1" t="s">
        <v>1957</v>
      </c>
      <c r="G330" s="1" t="s">
        <v>1751</v>
      </c>
      <c r="H330" s="1" t="s">
        <v>1879</v>
      </c>
      <c r="I330" s="2">
        <v>6</v>
      </c>
      <c r="J330" s="4">
        <f t="shared" si="5"/>
        <v>0.166666666666667</v>
      </c>
    </row>
    <row r="331" s="1" customFormat="1" spans="1:10">
      <c r="A331" s="1" t="s">
        <v>2296</v>
      </c>
      <c r="B331" s="1" t="s">
        <v>843</v>
      </c>
      <c r="C331" s="1">
        <v>2021</v>
      </c>
      <c r="D331" s="1" t="s">
        <v>2299</v>
      </c>
      <c r="E331" s="1" t="s">
        <v>1903</v>
      </c>
      <c r="F331" s="1" t="s">
        <v>1957</v>
      </c>
      <c r="G331" s="1" t="s">
        <v>1751</v>
      </c>
      <c r="H331" s="1" t="s">
        <v>1879</v>
      </c>
      <c r="I331" s="2">
        <v>6</v>
      </c>
      <c r="J331" s="4">
        <f t="shared" si="5"/>
        <v>0.166666666666667</v>
      </c>
    </row>
    <row r="332" s="1" customFormat="1" spans="1:10">
      <c r="A332" s="1" t="s">
        <v>2296</v>
      </c>
      <c r="B332" s="1" t="s">
        <v>843</v>
      </c>
      <c r="C332" s="1">
        <v>2021</v>
      </c>
      <c r="D332" s="1" t="s">
        <v>2300</v>
      </c>
      <c r="E332" s="1" t="s">
        <v>1903</v>
      </c>
      <c r="F332" s="1" t="s">
        <v>1957</v>
      </c>
      <c r="G332" s="1" t="s">
        <v>1751</v>
      </c>
      <c r="H332" s="1" t="s">
        <v>1879</v>
      </c>
      <c r="I332" s="2">
        <v>6</v>
      </c>
      <c r="J332" s="4">
        <f t="shared" si="5"/>
        <v>0.166666666666667</v>
      </c>
    </row>
    <row r="333" s="1" customFormat="1" spans="1:10">
      <c r="A333" s="1" t="s">
        <v>2296</v>
      </c>
      <c r="B333" s="1" t="s">
        <v>843</v>
      </c>
      <c r="C333" s="1">
        <v>2021</v>
      </c>
      <c r="D333" s="1" t="s">
        <v>2301</v>
      </c>
      <c r="E333" s="1" t="s">
        <v>1903</v>
      </c>
      <c r="F333" s="1" t="s">
        <v>1957</v>
      </c>
      <c r="G333" s="1" t="s">
        <v>1751</v>
      </c>
      <c r="H333" s="1" t="s">
        <v>1879</v>
      </c>
      <c r="I333" s="2">
        <v>6</v>
      </c>
      <c r="J333" s="4">
        <f t="shared" si="5"/>
        <v>0.166666666666667</v>
      </c>
    </row>
    <row r="334" s="1" customFormat="1" spans="1:10">
      <c r="A334" s="1" t="s">
        <v>2296</v>
      </c>
      <c r="B334" s="1" t="s">
        <v>843</v>
      </c>
      <c r="C334" s="1">
        <v>2021</v>
      </c>
      <c r="D334" s="1" t="s">
        <v>2302</v>
      </c>
      <c r="E334" s="1" t="s">
        <v>1905</v>
      </c>
      <c r="F334" s="1" t="s">
        <v>1844</v>
      </c>
      <c r="G334" s="1" t="s">
        <v>1844</v>
      </c>
      <c r="H334" s="1" t="s">
        <v>1854</v>
      </c>
      <c r="I334" s="2">
        <v>6</v>
      </c>
      <c r="J334" s="4">
        <f t="shared" si="5"/>
        <v>0.166666666666667</v>
      </c>
    </row>
    <row r="335" s="1" customFormat="1" spans="1:10">
      <c r="A335" s="1" t="s">
        <v>2303</v>
      </c>
      <c r="B335" s="1" t="s">
        <v>855</v>
      </c>
      <c r="C335" s="1">
        <v>2021</v>
      </c>
      <c r="D335" s="1" t="s">
        <v>2304</v>
      </c>
      <c r="E335" s="1" t="s">
        <v>1900</v>
      </c>
      <c r="F335" s="1" t="s">
        <v>2305</v>
      </c>
      <c r="G335" s="1" t="s">
        <v>1798</v>
      </c>
      <c r="H335" s="1" t="s">
        <v>1855</v>
      </c>
      <c r="I335" s="2">
        <v>5</v>
      </c>
      <c r="J335" s="4">
        <f t="shared" si="5"/>
        <v>0.2</v>
      </c>
    </row>
    <row r="336" s="1" customFormat="1" spans="1:10">
      <c r="A336" s="1" t="s">
        <v>2303</v>
      </c>
      <c r="B336" s="1" t="s">
        <v>855</v>
      </c>
      <c r="C336" s="1">
        <v>2021</v>
      </c>
      <c r="D336" s="1" t="s">
        <v>2306</v>
      </c>
      <c r="E336" s="1" t="s">
        <v>1903</v>
      </c>
      <c r="F336" s="1" t="s">
        <v>1840</v>
      </c>
      <c r="G336" s="1" t="s">
        <v>1840</v>
      </c>
      <c r="H336" s="1" t="s">
        <v>1855</v>
      </c>
      <c r="I336" s="2">
        <v>5</v>
      </c>
      <c r="J336" s="4">
        <f t="shared" si="5"/>
        <v>0.2</v>
      </c>
    </row>
    <row r="337" s="1" customFormat="1" spans="1:10">
      <c r="A337" s="1" t="s">
        <v>2303</v>
      </c>
      <c r="B337" s="1" t="s">
        <v>855</v>
      </c>
      <c r="C337" s="1">
        <v>2021</v>
      </c>
      <c r="D337" s="1" t="s">
        <v>2307</v>
      </c>
      <c r="E337" s="1" t="s">
        <v>1903</v>
      </c>
      <c r="F337" s="1" t="s">
        <v>1799</v>
      </c>
      <c r="G337" s="1" t="s">
        <v>1799</v>
      </c>
      <c r="H337" s="1" t="s">
        <v>1855</v>
      </c>
      <c r="I337" s="2">
        <v>5</v>
      </c>
      <c r="J337" s="4">
        <f t="shared" si="5"/>
        <v>0.2</v>
      </c>
    </row>
    <row r="338" s="1" customFormat="1" spans="1:10">
      <c r="A338" s="1" t="s">
        <v>2303</v>
      </c>
      <c r="B338" s="1" t="s">
        <v>855</v>
      </c>
      <c r="C338" s="1">
        <v>2021</v>
      </c>
      <c r="D338" s="1" t="s">
        <v>2308</v>
      </c>
      <c r="E338" s="1" t="s">
        <v>1903</v>
      </c>
      <c r="F338" s="1" t="s">
        <v>1799</v>
      </c>
      <c r="G338" s="1" t="s">
        <v>1799</v>
      </c>
      <c r="H338" s="1" t="s">
        <v>1855</v>
      </c>
      <c r="I338" s="2">
        <v>5</v>
      </c>
      <c r="J338" s="4">
        <f t="shared" si="5"/>
        <v>0.2</v>
      </c>
    </row>
    <row r="339" s="1" customFormat="1" spans="1:10">
      <c r="A339" s="1" t="s">
        <v>2303</v>
      </c>
      <c r="B339" s="1" t="s">
        <v>855</v>
      </c>
      <c r="C339" s="1">
        <v>2021</v>
      </c>
      <c r="D339" s="1" t="s">
        <v>2309</v>
      </c>
      <c r="E339" s="1" t="s">
        <v>1905</v>
      </c>
      <c r="F339" s="1" t="s">
        <v>2305</v>
      </c>
      <c r="G339" s="1" t="s">
        <v>1798</v>
      </c>
      <c r="H339" s="1" t="s">
        <v>1855</v>
      </c>
      <c r="I339" s="2">
        <v>5</v>
      </c>
      <c r="J339" s="4">
        <f t="shared" si="5"/>
        <v>0.2</v>
      </c>
    </row>
    <row r="340" s="1" customFormat="1" spans="1:10">
      <c r="A340" s="1" t="s">
        <v>2310</v>
      </c>
      <c r="B340" s="1" t="s">
        <v>2311</v>
      </c>
      <c r="C340" s="1">
        <v>2022</v>
      </c>
      <c r="D340" s="1" t="s">
        <v>2312</v>
      </c>
      <c r="E340" s="1" t="s">
        <v>1900</v>
      </c>
      <c r="F340" s="1" t="s">
        <v>1791</v>
      </c>
      <c r="G340" s="1" t="s">
        <v>1791</v>
      </c>
      <c r="H340" s="1" t="s">
        <v>1853</v>
      </c>
      <c r="I340" s="2">
        <v>4</v>
      </c>
      <c r="J340" s="4">
        <f t="shared" si="5"/>
        <v>0.25</v>
      </c>
    </row>
    <row r="341" s="1" customFormat="1" spans="1:10">
      <c r="A341" s="1" t="s">
        <v>2310</v>
      </c>
      <c r="B341" s="1" t="s">
        <v>2311</v>
      </c>
      <c r="C341" s="1">
        <v>2022</v>
      </c>
      <c r="D341" s="1" t="s">
        <v>2313</v>
      </c>
      <c r="E341" s="1" t="s">
        <v>1903</v>
      </c>
      <c r="F341" s="1" t="s">
        <v>1791</v>
      </c>
      <c r="G341" s="1" t="s">
        <v>1791</v>
      </c>
      <c r="H341" s="1" t="s">
        <v>1853</v>
      </c>
      <c r="I341" s="2">
        <v>4</v>
      </c>
      <c r="J341" s="4">
        <f t="shared" si="5"/>
        <v>0.25</v>
      </c>
    </row>
    <row r="342" s="1" customFormat="1" spans="1:10">
      <c r="A342" s="1" t="s">
        <v>2310</v>
      </c>
      <c r="B342" s="1" t="s">
        <v>2311</v>
      </c>
      <c r="C342" s="1">
        <v>2022</v>
      </c>
      <c r="D342" s="1" t="s">
        <v>2258</v>
      </c>
      <c r="E342" s="1" t="s">
        <v>1903</v>
      </c>
      <c r="F342" s="1" t="s">
        <v>1713</v>
      </c>
      <c r="G342" s="1" t="s">
        <v>1713</v>
      </c>
      <c r="H342" s="1" t="s">
        <v>1853</v>
      </c>
      <c r="I342" s="2">
        <v>4</v>
      </c>
      <c r="J342" s="4">
        <f t="shared" si="5"/>
        <v>0.25</v>
      </c>
    </row>
    <row r="343" s="1" customFormat="1" spans="1:10">
      <c r="A343" s="1" t="s">
        <v>2310</v>
      </c>
      <c r="B343" s="1" t="s">
        <v>2311</v>
      </c>
      <c r="C343" s="1">
        <v>2022</v>
      </c>
      <c r="D343" s="1" t="s">
        <v>2314</v>
      </c>
      <c r="E343" s="1" t="s">
        <v>1905</v>
      </c>
      <c r="F343" s="1" t="s">
        <v>1713</v>
      </c>
      <c r="G343" s="1" t="s">
        <v>1713</v>
      </c>
      <c r="H343" s="1" t="s">
        <v>1853</v>
      </c>
      <c r="I343" s="2">
        <v>4</v>
      </c>
      <c r="J343" s="4">
        <f t="shared" si="5"/>
        <v>0.25</v>
      </c>
    </row>
    <row r="344" s="1" customFormat="1" spans="1:10">
      <c r="A344" s="1" t="s">
        <v>2315</v>
      </c>
      <c r="B344" s="1" t="s">
        <v>385</v>
      </c>
      <c r="C344" s="1">
        <v>2022</v>
      </c>
      <c r="D344" s="1" t="s">
        <v>2316</v>
      </c>
      <c r="E344" s="1" t="s">
        <v>1900</v>
      </c>
      <c r="F344" s="1" t="s">
        <v>1714</v>
      </c>
      <c r="G344" s="1" t="s">
        <v>1714</v>
      </c>
      <c r="H344" s="1" t="s">
        <v>1854</v>
      </c>
      <c r="I344" s="2">
        <v>5</v>
      </c>
      <c r="J344" s="4">
        <f t="shared" si="5"/>
        <v>0.2</v>
      </c>
    </row>
    <row r="345" s="1" customFormat="1" spans="1:10">
      <c r="A345" s="1" t="s">
        <v>2315</v>
      </c>
      <c r="B345" s="1" t="s">
        <v>385</v>
      </c>
      <c r="C345" s="1">
        <v>2022</v>
      </c>
      <c r="D345" s="1" t="s">
        <v>2317</v>
      </c>
      <c r="E345" s="1" t="s">
        <v>1903</v>
      </c>
      <c r="F345" s="1" t="s">
        <v>1714</v>
      </c>
      <c r="G345" s="1" t="s">
        <v>1714</v>
      </c>
      <c r="H345" s="1" t="s">
        <v>1854</v>
      </c>
      <c r="I345" s="2">
        <v>5</v>
      </c>
      <c r="J345" s="4">
        <f t="shared" si="5"/>
        <v>0.2</v>
      </c>
    </row>
    <row r="346" s="1" customFormat="1" spans="1:10">
      <c r="A346" s="1" t="s">
        <v>2315</v>
      </c>
      <c r="B346" s="1" t="s">
        <v>385</v>
      </c>
      <c r="C346" s="1">
        <v>2022</v>
      </c>
      <c r="D346" s="1" t="s">
        <v>2318</v>
      </c>
      <c r="E346" s="1" t="s">
        <v>1903</v>
      </c>
      <c r="F346" s="1" t="s">
        <v>1714</v>
      </c>
      <c r="G346" s="1" t="s">
        <v>1714</v>
      </c>
      <c r="H346" s="1" t="s">
        <v>1854</v>
      </c>
      <c r="I346" s="2">
        <v>5</v>
      </c>
      <c r="J346" s="4">
        <f t="shared" si="5"/>
        <v>0.2</v>
      </c>
    </row>
    <row r="347" s="1" customFormat="1" spans="1:10">
      <c r="A347" s="1" t="s">
        <v>2315</v>
      </c>
      <c r="B347" s="1" t="s">
        <v>385</v>
      </c>
      <c r="C347" s="1">
        <v>2022</v>
      </c>
      <c r="D347" s="1" t="s">
        <v>2198</v>
      </c>
      <c r="E347" s="1" t="s">
        <v>1903</v>
      </c>
      <c r="F347" s="1" t="s">
        <v>1839</v>
      </c>
      <c r="G347" s="1" t="s">
        <v>1839</v>
      </c>
      <c r="H347" s="1" t="s">
        <v>1854</v>
      </c>
      <c r="I347" s="2">
        <v>5</v>
      </c>
      <c r="J347" s="4">
        <f t="shared" si="5"/>
        <v>0.2</v>
      </c>
    </row>
    <row r="348" s="1" customFormat="1" spans="1:10">
      <c r="A348" s="1" t="s">
        <v>2315</v>
      </c>
      <c r="B348" s="1" t="s">
        <v>385</v>
      </c>
      <c r="C348" s="1">
        <v>2022</v>
      </c>
      <c r="D348" s="1" t="s">
        <v>2197</v>
      </c>
      <c r="E348" s="1" t="s">
        <v>1905</v>
      </c>
      <c r="F348" s="1" t="s">
        <v>1714</v>
      </c>
      <c r="G348" s="1" t="s">
        <v>1714</v>
      </c>
      <c r="H348" s="1" t="s">
        <v>1854</v>
      </c>
      <c r="I348" s="2">
        <v>5</v>
      </c>
      <c r="J348" s="4">
        <f t="shared" si="5"/>
        <v>0.2</v>
      </c>
    </row>
    <row r="349" s="1" customFormat="1" spans="1:10">
      <c r="A349" s="1" t="s">
        <v>2319</v>
      </c>
      <c r="B349" s="1" t="s">
        <v>705</v>
      </c>
      <c r="C349" s="1">
        <v>2021</v>
      </c>
      <c r="D349" s="1" t="s">
        <v>2320</v>
      </c>
      <c r="E349" s="1" t="s">
        <v>1900</v>
      </c>
      <c r="F349" s="1" t="s">
        <v>1796</v>
      </c>
      <c r="G349" s="1" t="s">
        <v>1796</v>
      </c>
      <c r="H349" s="1" t="s">
        <v>1855</v>
      </c>
      <c r="I349" s="2">
        <v>7</v>
      </c>
      <c r="J349" s="4">
        <f t="shared" si="5"/>
        <v>0.142857142857143</v>
      </c>
    </row>
    <row r="350" s="1" customFormat="1" spans="1:10">
      <c r="A350" s="1" t="s">
        <v>2319</v>
      </c>
      <c r="B350" s="1" t="s">
        <v>705</v>
      </c>
      <c r="C350" s="1">
        <v>2021</v>
      </c>
      <c r="D350" s="1" t="s">
        <v>2321</v>
      </c>
      <c r="E350" s="1" t="s">
        <v>1903</v>
      </c>
      <c r="F350" s="1" t="s">
        <v>1815</v>
      </c>
      <c r="G350" s="1" t="s">
        <v>1815</v>
      </c>
      <c r="H350" s="1" t="s">
        <v>1859</v>
      </c>
      <c r="I350" s="2">
        <v>7</v>
      </c>
      <c r="J350" s="4">
        <f t="shared" si="5"/>
        <v>0.142857142857143</v>
      </c>
    </row>
    <row r="351" s="1" customFormat="1" spans="1:10">
      <c r="A351" s="1" t="s">
        <v>2319</v>
      </c>
      <c r="B351" s="1" t="s">
        <v>705</v>
      </c>
      <c r="C351" s="1">
        <v>2021</v>
      </c>
      <c r="D351" s="1" t="s">
        <v>2322</v>
      </c>
      <c r="E351" s="1" t="s">
        <v>1903</v>
      </c>
      <c r="F351" s="1" t="s">
        <v>1815</v>
      </c>
      <c r="G351" s="1" t="s">
        <v>1815</v>
      </c>
      <c r="H351" s="1" t="s">
        <v>1859</v>
      </c>
      <c r="I351" s="2">
        <v>7</v>
      </c>
      <c r="J351" s="4">
        <f t="shared" si="5"/>
        <v>0.142857142857143</v>
      </c>
    </row>
    <row r="352" s="1" customFormat="1" spans="1:10">
      <c r="A352" s="1" t="s">
        <v>2319</v>
      </c>
      <c r="B352" s="1" t="s">
        <v>705</v>
      </c>
      <c r="C352" s="1">
        <v>2021</v>
      </c>
      <c r="D352" s="1" t="s">
        <v>2323</v>
      </c>
      <c r="E352" s="1" t="s">
        <v>1903</v>
      </c>
      <c r="F352" s="1" t="s">
        <v>1796</v>
      </c>
      <c r="G352" s="1" t="s">
        <v>1796</v>
      </c>
      <c r="H352" s="1" t="s">
        <v>1855</v>
      </c>
      <c r="I352" s="2">
        <v>7</v>
      </c>
      <c r="J352" s="4">
        <f t="shared" si="5"/>
        <v>0.142857142857143</v>
      </c>
    </row>
    <row r="353" s="1" customFormat="1" spans="1:10">
      <c r="A353" s="1" t="s">
        <v>2319</v>
      </c>
      <c r="B353" s="1" t="s">
        <v>705</v>
      </c>
      <c r="C353" s="1">
        <v>2021</v>
      </c>
      <c r="D353" s="1" t="s">
        <v>2324</v>
      </c>
      <c r="E353" s="1" t="s">
        <v>1903</v>
      </c>
      <c r="F353" s="1" t="s">
        <v>1851</v>
      </c>
      <c r="G353" s="1" t="s">
        <v>1851</v>
      </c>
      <c r="H353" s="1" t="s">
        <v>1854</v>
      </c>
      <c r="I353" s="2">
        <v>7</v>
      </c>
      <c r="J353" s="4">
        <f t="shared" si="5"/>
        <v>0.142857142857143</v>
      </c>
    </row>
    <row r="354" s="1" customFormat="1" spans="1:10">
      <c r="A354" s="1" t="s">
        <v>2319</v>
      </c>
      <c r="B354" s="1" t="s">
        <v>705</v>
      </c>
      <c r="C354" s="1">
        <v>2021</v>
      </c>
      <c r="D354" s="1" t="s">
        <v>2325</v>
      </c>
      <c r="E354" s="1" t="s">
        <v>1903</v>
      </c>
      <c r="F354" s="1" t="s">
        <v>1796</v>
      </c>
      <c r="G354" s="1" t="s">
        <v>1796</v>
      </c>
      <c r="H354" s="1" t="s">
        <v>1855</v>
      </c>
      <c r="I354" s="2">
        <v>7</v>
      </c>
      <c r="J354" s="4">
        <f t="shared" si="5"/>
        <v>0.142857142857143</v>
      </c>
    </row>
    <row r="355" s="1" customFormat="1" spans="1:10">
      <c r="A355" s="1" t="s">
        <v>2319</v>
      </c>
      <c r="B355" s="1" t="s">
        <v>705</v>
      </c>
      <c r="C355" s="1">
        <v>2021</v>
      </c>
      <c r="D355" s="1" t="s">
        <v>2326</v>
      </c>
      <c r="E355" s="1" t="s">
        <v>1905</v>
      </c>
      <c r="F355" s="1" t="s">
        <v>1847</v>
      </c>
      <c r="G355" s="1" t="s">
        <v>1847</v>
      </c>
      <c r="H355" s="1" t="s">
        <v>1854</v>
      </c>
      <c r="I355" s="2">
        <v>7</v>
      </c>
      <c r="J355" s="4">
        <f t="shared" si="5"/>
        <v>0.142857142857143</v>
      </c>
    </row>
    <row r="356" s="1" customFormat="1" spans="1:10">
      <c r="A356" s="1" t="s">
        <v>2327</v>
      </c>
      <c r="B356" s="1" t="s">
        <v>622</v>
      </c>
      <c r="C356" s="1">
        <v>2022</v>
      </c>
      <c r="D356" s="1" t="s">
        <v>2328</v>
      </c>
      <c r="E356" s="1" t="s">
        <v>1900</v>
      </c>
      <c r="F356" s="1" t="s">
        <v>1711</v>
      </c>
      <c r="G356" s="1" t="s">
        <v>1711</v>
      </c>
      <c r="H356" s="1" t="s">
        <v>1853</v>
      </c>
      <c r="I356" s="2">
        <v>3</v>
      </c>
      <c r="J356" s="4">
        <f t="shared" si="5"/>
        <v>0.333333333333333</v>
      </c>
    </row>
    <row r="357" s="1" customFormat="1" spans="1:10">
      <c r="A357" s="1" t="s">
        <v>2327</v>
      </c>
      <c r="B357" s="1" t="s">
        <v>622</v>
      </c>
      <c r="C357" s="1">
        <v>2022</v>
      </c>
      <c r="D357" s="1" t="s">
        <v>2329</v>
      </c>
      <c r="E357" s="1" t="s">
        <v>1903</v>
      </c>
      <c r="F357" s="1" t="s">
        <v>1711</v>
      </c>
      <c r="G357" s="1" t="s">
        <v>1711</v>
      </c>
      <c r="H357" s="1" t="s">
        <v>1853</v>
      </c>
      <c r="I357" s="2">
        <v>3</v>
      </c>
      <c r="J357" s="4">
        <f t="shared" si="5"/>
        <v>0.333333333333333</v>
      </c>
    </row>
    <row r="358" s="1" customFormat="1" spans="1:10">
      <c r="A358" s="1" t="s">
        <v>2327</v>
      </c>
      <c r="B358" s="1" t="s">
        <v>622</v>
      </c>
      <c r="C358" s="1">
        <v>2022</v>
      </c>
      <c r="D358" s="1" t="s">
        <v>2330</v>
      </c>
      <c r="E358" s="1" t="s">
        <v>1905</v>
      </c>
      <c r="F358" s="1" t="s">
        <v>1711</v>
      </c>
      <c r="G358" s="1" t="s">
        <v>1711</v>
      </c>
      <c r="H358" s="1" t="s">
        <v>1853</v>
      </c>
      <c r="I358" s="2">
        <v>3</v>
      </c>
      <c r="J358" s="4">
        <f t="shared" si="5"/>
        <v>0.333333333333333</v>
      </c>
    </row>
    <row r="359" s="1" customFormat="1" spans="1:10">
      <c r="A359" s="1" t="s">
        <v>2331</v>
      </c>
      <c r="B359" s="1" t="s">
        <v>389</v>
      </c>
      <c r="C359" s="1">
        <v>2023</v>
      </c>
      <c r="D359" s="1" t="s">
        <v>2274</v>
      </c>
      <c r="E359" s="1" t="s">
        <v>1900</v>
      </c>
      <c r="F359" s="1" t="s">
        <v>1788</v>
      </c>
      <c r="G359" s="1" t="s">
        <v>1788</v>
      </c>
      <c r="H359" s="1" t="s">
        <v>1885</v>
      </c>
      <c r="I359" s="2">
        <v>2</v>
      </c>
      <c r="J359" s="4">
        <f t="shared" si="5"/>
        <v>0.5</v>
      </c>
    </row>
    <row r="360" s="1" customFormat="1" spans="1:10">
      <c r="A360" s="1" t="s">
        <v>2331</v>
      </c>
      <c r="B360" s="1" t="s">
        <v>389</v>
      </c>
      <c r="C360" s="1">
        <v>2023</v>
      </c>
      <c r="D360" s="1" t="s">
        <v>2277</v>
      </c>
      <c r="E360" s="1" t="s">
        <v>1905</v>
      </c>
      <c r="F360" s="1" t="s">
        <v>2275</v>
      </c>
      <c r="G360" s="1" t="s">
        <v>1793</v>
      </c>
      <c r="H360" s="1" t="s">
        <v>1873</v>
      </c>
      <c r="I360" s="2">
        <v>2</v>
      </c>
      <c r="J360" s="4">
        <f t="shared" si="5"/>
        <v>0.5</v>
      </c>
    </row>
    <row r="361" s="1" customFormat="1" spans="1:10">
      <c r="A361" s="1" t="s">
        <v>2332</v>
      </c>
      <c r="B361" s="1" t="s">
        <v>713</v>
      </c>
      <c r="C361" s="1">
        <v>2024</v>
      </c>
      <c r="D361" s="1" t="s">
        <v>2258</v>
      </c>
      <c r="E361" s="1" t="s">
        <v>1900</v>
      </c>
      <c r="F361" s="1" t="s">
        <v>1713</v>
      </c>
      <c r="G361" s="1" t="s">
        <v>1713</v>
      </c>
      <c r="H361" s="1" t="s">
        <v>1853</v>
      </c>
      <c r="I361" s="2">
        <v>3</v>
      </c>
      <c r="J361" s="4">
        <f t="shared" si="5"/>
        <v>0.333333333333333</v>
      </c>
    </row>
    <row r="362" s="1" customFormat="1" spans="1:10">
      <c r="A362" s="1" t="s">
        <v>2332</v>
      </c>
      <c r="B362" s="1" t="s">
        <v>713</v>
      </c>
      <c r="C362" s="1">
        <v>2024</v>
      </c>
      <c r="D362" s="1" t="s">
        <v>2333</v>
      </c>
      <c r="E362" s="1" t="s">
        <v>1903</v>
      </c>
      <c r="F362" s="1" t="s">
        <v>1768</v>
      </c>
      <c r="G362" s="1" t="s">
        <v>1768</v>
      </c>
      <c r="H362" s="1" t="s">
        <v>1853</v>
      </c>
      <c r="I362" s="2">
        <v>3</v>
      </c>
      <c r="J362" s="4">
        <f t="shared" si="5"/>
        <v>0.333333333333333</v>
      </c>
    </row>
    <row r="363" s="1" customFormat="1" spans="1:10">
      <c r="A363" s="1" t="s">
        <v>2332</v>
      </c>
      <c r="B363" s="1" t="s">
        <v>713</v>
      </c>
      <c r="C363" s="1">
        <v>2024</v>
      </c>
      <c r="D363" s="1" t="s">
        <v>2334</v>
      </c>
      <c r="E363" s="1" t="s">
        <v>1905</v>
      </c>
      <c r="F363" s="1" t="s">
        <v>1768</v>
      </c>
      <c r="G363" s="1" t="s">
        <v>1768</v>
      </c>
      <c r="H363" s="1" t="s">
        <v>1853</v>
      </c>
      <c r="I363" s="2">
        <v>3</v>
      </c>
      <c r="J363" s="4">
        <f t="shared" si="5"/>
        <v>0.333333333333333</v>
      </c>
    </row>
    <row r="364" s="1" customFormat="1" spans="1:10">
      <c r="A364" s="1" t="s">
        <v>2335</v>
      </c>
      <c r="B364" s="1" t="s">
        <v>356</v>
      </c>
      <c r="C364" s="1">
        <v>2023</v>
      </c>
      <c r="D364" s="1" t="s">
        <v>2336</v>
      </c>
      <c r="E364" s="1" t="s">
        <v>1900</v>
      </c>
      <c r="F364" s="1" t="s">
        <v>1737</v>
      </c>
      <c r="G364" s="1" t="s">
        <v>1737</v>
      </c>
      <c r="H364" s="1" t="s">
        <v>1853</v>
      </c>
      <c r="I364" s="2">
        <v>6</v>
      </c>
      <c r="J364" s="4">
        <f t="shared" si="5"/>
        <v>0.166666666666667</v>
      </c>
    </row>
    <row r="365" s="1" customFormat="1" spans="1:10">
      <c r="A365" s="1" t="s">
        <v>2335</v>
      </c>
      <c r="B365" s="1" t="s">
        <v>356</v>
      </c>
      <c r="C365" s="1">
        <v>2023</v>
      </c>
      <c r="D365" s="1" t="s">
        <v>2337</v>
      </c>
      <c r="E365" s="1" t="s">
        <v>1903</v>
      </c>
      <c r="F365" s="1" t="s">
        <v>1737</v>
      </c>
      <c r="G365" s="1" t="s">
        <v>1737</v>
      </c>
      <c r="H365" s="1" t="s">
        <v>1853</v>
      </c>
      <c r="I365" s="2">
        <v>6</v>
      </c>
      <c r="J365" s="4">
        <f t="shared" si="5"/>
        <v>0.166666666666667</v>
      </c>
    </row>
    <row r="366" s="1" customFormat="1" spans="1:10">
      <c r="A366" s="1" t="s">
        <v>2335</v>
      </c>
      <c r="B366" s="1" t="s">
        <v>356</v>
      </c>
      <c r="C366" s="1">
        <v>2023</v>
      </c>
      <c r="D366" s="1" t="s">
        <v>2338</v>
      </c>
      <c r="E366" s="1" t="s">
        <v>1903</v>
      </c>
      <c r="F366" s="1" t="s">
        <v>1737</v>
      </c>
      <c r="G366" s="1" t="s">
        <v>1737</v>
      </c>
      <c r="H366" s="1" t="s">
        <v>1853</v>
      </c>
      <c r="I366" s="2">
        <v>6</v>
      </c>
      <c r="J366" s="4">
        <f t="shared" si="5"/>
        <v>0.166666666666667</v>
      </c>
    </row>
    <row r="367" s="1" customFormat="1" spans="1:10">
      <c r="A367" s="1" t="s">
        <v>2335</v>
      </c>
      <c r="B367" s="1" t="s">
        <v>356</v>
      </c>
      <c r="C367" s="1">
        <v>2023</v>
      </c>
      <c r="D367" s="1" t="s">
        <v>2339</v>
      </c>
      <c r="E367" s="1" t="s">
        <v>1903</v>
      </c>
      <c r="F367" s="1" t="s">
        <v>1737</v>
      </c>
      <c r="G367" s="1" t="s">
        <v>1737</v>
      </c>
      <c r="H367" s="1" t="s">
        <v>1853</v>
      </c>
      <c r="I367" s="2">
        <v>6</v>
      </c>
      <c r="J367" s="4">
        <f t="shared" si="5"/>
        <v>0.166666666666667</v>
      </c>
    </row>
    <row r="368" s="1" customFormat="1" spans="1:10">
      <c r="A368" s="1" t="s">
        <v>2335</v>
      </c>
      <c r="B368" s="1" t="s">
        <v>356</v>
      </c>
      <c r="C368" s="1">
        <v>2023</v>
      </c>
      <c r="D368" s="1" t="s">
        <v>2340</v>
      </c>
      <c r="E368" s="1" t="s">
        <v>1903</v>
      </c>
      <c r="F368" s="1" t="s">
        <v>1737</v>
      </c>
      <c r="G368" s="1" t="s">
        <v>1737</v>
      </c>
      <c r="H368" s="1" t="s">
        <v>1853</v>
      </c>
      <c r="I368" s="2">
        <v>6</v>
      </c>
      <c r="J368" s="4">
        <f t="shared" si="5"/>
        <v>0.166666666666667</v>
      </c>
    </row>
    <row r="369" s="1" customFormat="1" spans="1:10">
      <c r="A369" s="1" t="s">
        <v>2335</v>
      </c>
      <c r="B369" s="1" t="s">
        <v>356</v>
      </c>
      <c r="C369" s="1">
        <v>2023</v>
      </c>
      <c r="D369" s="1" t="s">
        <v>2341</v>
      </c>
      <c r="E369" s="1" t="s">
        <v>1905</v>
      </c>
      <c r="F369" s="1" t="s">
        <v>1737</v>
      </c>
      <c r="G369" s="1" t="s">
        <v>1737</v>
      </c>
      <c r="H369" s="1" t="s">
        <v>1853</v>
      </c>
      <c r="I369" s="2">
        <v>6</v>
      </c>
      <c r="J369" s="4">
        <f t="shared" si="5"/>
        <v>0.166666666666667</v>
      </c>
    </row>
    <row r="370" s="1" customFormat="1" spans="1:10">
      <c r="A370" s="1" t="s">
        <v>2342</v>
      </c>
      <c r="B370" s="1" t="s">
        <v>366</v>
      </c>
      <c r="C370" s="1">
        <v>2024</v>
      </c>
      <c r="D370" s="1" t="s">
        <v>2343</v>
      </c>
      <c r="E370" s="1" t="s">
        <v>1900</v>
      </c>
      <c r="F370" s="1" t="s">
        <v>1957</v>
      </c>
      <c r="G370" s="1" t="s">
        <v>1755</v>
      </c>
      <c r="H370" s="1" t="s">
        <v>1855</v>
      </c>
      <c r="I370" s="2">
        <v>4</v>
      </c>
      <c r="J370" s="4">
        <f t="shared" si="5"/>
        <v>0.25</v>
      </c>
    </row>
    <row r="371" s="1" customFormat="1" spans="1:10">
      <c r="A371" s="1" t="s">
        <v>2342</v>
      </c>
      <c r="B371" s="1" t="s">
        <v>366</v>
      </c>
      <c r="C371" s="1">
        <v>2024</v>
      </c>
      <c r="D371" s="1" t="s">
        <v>2344</v>
      </c>
      <c r="E371" s="1" t="s">
        <v>1903</v>
      </c>
      <c r="F371" s="1" t="s">
        <v>1957</v>
      </c>
      <c r="G371" s="1" t="s">
        <v>1755</v>
      </c>
      <c r="H371" s="1" t="s">
        <v>1855</v>
      </c>
      <c r="I371" s="2">
        <v>4</v>
      </c>
      <c r="J371" s="4">
        <f t="shared" si="5"/>
        <v>0.25</v>
      </c>
    </row>
    <row r="372" s="1" customFormat="1" spans="1:10">
      <c r="A372" s="1" t="s">
        <v>2342</v>
      </c>
      <c r="B372" s="1" t="s">
        <v>366</v>
      </c>
      <c r="C372" s="1">
        <v>2024</v>
      </c>
      <c r="D372" s="1" t="s">
        <v>2345</v>
      </c>
      <c r="E372" s="1" t="s">
        <v>1903</v>
      </c>
      <c r="F372" s="1" t="s">
        <v>1957</v>
      </c>
      <c r="G372" s="1" t="s">
        <v>1755</v>
      </c>
      <c r="H372" s="1" t="s">
        <v>1855</v>
      </c>
      <c r="I372" s="2">
        <v>4</v>
      </c>
      <c r="J372" s="4">
        <f t="shared" si="5"/>
        <v>0.25</v>
      </c>
    </row>
    <row r="373" s="1" customFormat="1" spans="1:10">
      <c r="A373" s="1" t="s">
        <v>2342</v>
      </c>
      <c r="B373" s="1" t="s">
        <v>366</v>
      </c>
      <c r="C373" s="1">
        <v>2024</v>
      </c>
      <c r="D373" s="1" t="s">
        <v>2346</v>
      </c>
      <c r="E373" s="1" t="s">
        <v>1905</v>
      </c>
      <c r="F373" s="1" t="s">
        <v>1957</v>
      </c>
      <c r="G373" s="1" t="s">
        <v>1719</v>
      </c>
      <c r="H373" s="1" t="s">
        <v>1855</v>
      </c>
      <c r="I373" s="2">
        <v>4</v>
      </c>
      <c r="J373" s="4">
        <f t="shared" si="5"/>
        <v>0.25</v>
      </c>
    </row>
    <row r="374" s="1" customFormat="1" spans="1:10">
      <c r="A374" s="1" t="s">
        <v>2347</v>
      </c>
      <c r="B374" s="1" t="s">
        <v>562</v>
      </c>
      <c r="C374" s="1">
        <v>2024</v>
      </c>
      <c r="D374" s="1" t="s">
        <v>2348</v>
      </c>
      <c r="E374" s="1" t="s">
        <v>1900</v>
      </c>
      <c r="F374" s="1" t="s">
        <v>1733</v>
      </c>
      <c r="G374" s="1" t="s">
        <v>1733</v>
      </c>
      <c r="H374" s="1" t="s">
        <v>1854</v>
      </c>
      <c r="I374" s="2">
        <v>4</v>
      </c>
      <c r="J374" s="4">
        <f t="shared" si="5"/>
        <v>0.25</v>
      </c>
    </row>
    <row r="375" s="1" customFormat="1" spans="1:10">
      <c r="A375" s="1" t="s">
        <v>2347</v>
      </c>
      <c r="B375" s="1" t="s">
        <v>562</v>
      </c>
      <c r="C375" s="1">
        <v>2024</v>
      </c>
      <c r="D375" s="1" t="s">
        <v>2349</v>
      </c>
      <c r="E375" s="1" t="s">
        <v>1903</v>
      </c>
      <c r="F375" s="1" t="s">
        <v>1733</v>
      </c>
      <c r="G375" s="1" t="s">
        <v>1733</v>
      </c>
      <c r="H375" s="1" t="s">
        <v>1854</v>
      </c>
      <c r="I375" s="2">
        <v>4</v>
      </c>
      <c r="J375" s="4">
        <f t="shared" si="5"/>
        <v>0.25</v>
      </c>
    </row>
    <row r="376" s="1" customFormat="1" spans="1:10">
      <c r="A376" s="1" t="s">
        <v>2347</v>
      </c>
      <c r="B376" s="1" t="s">
        <v>562</v>
      </c>
      <c r="C376" s="1">
        <v>2024</v>
      </c>
      <c r="D376" s="1" t="s">
        <v>2350</v>
      </c>
      <c r="E376" s="1" t="s">
        <v>1903</v>
      </c>
      <c r="F376" s="1" t="s">
        <v>1733</v>
      </c>
      <c r="G376" s="1" t="s">
        <v>1733</v>
      </c>
      <c r="H376" s="1" t="s">
        <v>1854</v>
      </c>
      <c r="I376" s="2">
        <v>4</v>
      </c>
      <c r="J376" s="4">
        <f t="shared" si="5"/>
        <v>0.25</v>
      </c>
    </row>
    <row r="377" s="1" customFormat="1" spans="1:10">
      <c r="A377" s="1" t="s">
        <v>2347</v>
      </c>
      <c r="B377" s="1" t="s">
        <v>562</v>
      </c>
      <c r="C377" s="1">
        <v>2024</v>
      </c>
      <c r="D377" s="1" t="s">
        <v>2351</v>
      </c>
      <c r="E377" s="1" t="s">
        <v>1905</v>
      </c>
      <c r="F377" s="1" t="s">
        <v>1733</v>
      </c>
      <c r="G377" s="1" t="s">
        <v>1733</v>
      </c>
      <c r="H377" s="1" t="s">
        <v>1854</v>
      </c>
      <c r="I377" s="2">
        <v>4</v>
      </c>
      <c r="J377" s="4">
        <f t="shared" si="5"/>
        <v>0.25</v>
      </c>
    </row>
    <row r="378" s="1" customFormat="1" spans="1:10">
      <c r="A378" s="1" t="s">
        <v>2352</v>
      </c>
      <c r="B378" s="1" t="s">
        <v>612</v>
      </c>
      <c r="C378" s="1">
        <v>2024</v>
      </c>
      <c r="D378" s="1" t="s">
        <v>2353</v>
      </c>
      <c r="E378" s="1" t="s">
        <v>1900</v>
      </c>
      <c r="F378" s="1" t="s">
        <v>1711</v>
      </c>
      <c r="G378" s="1" t="s">
        <v>1711</v>
      </c>
      <c r="H378" s="1" t="s">
        <v>1853</v>
      </c>
      <c r="I378" s="2">
        <v>3</v>
      </c>
      <c r="J378" s="4">
        <f t="shared" si="5"/>
        <v>0.333333333333333</v>
      </c>
    </row>
    <row r="379" s="1" customFormat="1" spans="1:10">
      <c r="A379" s="1" t="s">
        <v>2352</v>
      </c>
      <c r="B379" s="1" t="s">
        <v>612</v>
      </c>
      <c r="C379" s="1">
        <v>2024</v>
      </c>
      <c r="D379" s="1" t="s">
        <v>2354</v>
      </c>
      <c r="E379" s="1" t="s">
        <v>1903</v>
      </c>
      <c r="F379" s="1" t="s">
        <v>1711</v>
      </c>
      <c r="G379" s="1" t="s">
        <v>1711</v>
      </c>
      <c r="H379" s="1" t="s">
        <v>1853</v>
      </c>
      <c r="I379" s="2">
        <v>3</v>
      </c>
      <c r="J379" s="4">
        <f t="shared" si="5"/>
        <v>0.333333333333333</v>
      </c>
    </row>
    <row r="380" s="1" customFormat="1" spans="1:10">
      <c r="A380" s="1" t="s">
        <v>2352</v>
      </c>
      <c r="B380" s="1" t="s">
        <v>612</v>
      </c>
      <c r="C380" s="1">
        <v>2024</v>
      </c>
      <c r="D380" s="1" t="s">
        <v>2355</v>
      </c>
      <c r="E380" s="1" t="s">
        <v>1905</v>
      </c>
      <c r="F380" s="1" t="s">
        <v>1711</v>
      </c>
      <c r="G380" s="1" t="s">
        <v>1711</v>
      </c>
      <c r="H380" s="1" t="s">
        <v>1853</v>
      </c>
      <c r="I380" s="2">
        <v>3</v>
      </c>
      <c r="J380" s="4">
        <f t="shared" si="5"/>
        <v>0.333333333333333</v>
      </c>
    </row>
    <row r="381" s="1" customFormat="1" spans="1:10">
      <c r="A381" s="1" t="s">
        <v>2356</v>
      </c>
      <c r="B381" s="1" t="s">
        <v>358</v>
      </c>
      <c r="C381" s="1">
        <v>2024</v>
      </c>
      <c r="D381" s="1" t="s">
        <v>2357</v>
      </c>
      <c r="E381" s="1" t="s">
        <v>1900</v>
      </c>
      <c r="F381" s="1" t="s">
        <v>1957</v>
      </c>
      <c r="G381" s="1" t="s">
        <v>1731</v>
      </c>
      <c r="H381" s="1" t="s">
        <v>1853</v>
      </c>
      <c r="I381" s="2">
        <v>7</v>
      </c>
      <c r="J381" s="4">
        <f t="shared" si="5"/>
        <v>0.142857142857143</v>
      </c>
    </row>
    <row r="382" s="1" customFormat="1" spans="1:10">
      <c r="A382" s="1" t="s">
        <v>2356</v>
      </c>
      <c r="B382" s="1" t="s">
        <v>358</v>
      </c>
      <c r="C382" s="1">
        <v>2024</v>
      </c>
      <c r="D382" s="1" t="s">
        <v>2358</v>
      </c>
      <c r="E382" s="1" t="s">
        <v>1903</v>
      </c>
      <c r="F382" s="1" t="s">
        <v>1957</v>
      </c>
      <c r="G382" s="1" t="s">
        <v>1731</v>
      </c>
      <c r="H382" s="1" t="s">
        <v>1853</v>
      </c>
      <c r="I382" s="2">
        <v>7</v>
      </c>
      <c r="J382" s="4">
        <f t="shared" si="5"/>
        <v>0.142857142857143</v>
      </c>
    </row>
    <row r="383" s="1" customFormat="1" spans="1:10">
      <c r="A383" s="1" t="s">
        <v>2356</v>
      </c>
      <c r="B383" s="1" t="s">
        <v>358</v>
      </c>
      <c r="C383" s="1">
        <v>2024</v>
      </c>
      <c r="D383" s="1" t="s">
        <v>2359</v>
      </c>
      <c r="E383" s="1" t="s">
        <v>1903</v>
      </c>
      <c r="F383" s="1" t="s">
        <v>1957</v>
      </c>
      <c r="G383" s="1" t="s">
        <v>1731</v>
      </c>
      <c r="H383" s="1" t="s">
        <v>1853</v>
      </c>
      <c r="I383" s="2">
        <v>7</v>
      </c>
      <c r="J383" s="4">
        <f t="shared" si="5"/>
        <v>0.142857142857143</v>
      </c>
    </row>
    <row r="384" s="1" customFormat="1" spans="1:10">
      <c r="A384" s="1" t="s">
        <v>2356</v>
      </c>
      <c r="B384" s="1" t="s">
        <v>358</v>
      </c>
      <c r="C384" s="1">
        <v>2024</v>
      </c>
      <c r="D384" s="1" t="s">
        <v>2360</v>
      </c>
      <c r="E384" s="1" t="s">
        <v>1903</v>
      </c>
      <c r="F384" s="1" t="s">
        <v>1957</v>
      </c>
      <c r="G384" s="1" t="s">
        <v>1731</v>
      </c>
      <c r="H384" s="1" t="s">
        <v>1853</v>
      </c>
      <c r="I384" s="2">
        <v>7</v>
      </c>
      <c r="J384" s="4">
        <f t="shared" si="5"/>
        <v>0.142857142857143</v>
      </c>
    </row>
    <row r="385" s="1" customFormat="1" spans="1:10">
      <c r="A385" s="1" t="s">
        <v>2356</v>
      </c>
      <c r="B385" s="1" t="s">
        <v>358</v>
      </c>
      <c r="C385" s="1">
        <v>2024</v>
      </c>
      <c r="D385" s="1" t="s">
        <v>2361</v>
      </c>
      <c r="E385" s="1" t="s">
        <v>1903</v>
      </c>
      <c r="F385" s="1" t="s">
        <v>1957</v>
      </c>
      <c r="G385" s="1" t="s">
        <v>1731</v>
      </c>
      <c r="H385" s="1" t="s">
        <v>1853</v>
      </c>
      <c r="I385" s="2">
        <v>7</v>
      </c>
      <c r="J385" s="4">
        <f t="shared" si="5"/>
        <v>0.142857142857143</v>
      </c>
    </row>
    <row r="386" s="1" customFormat="1" spans="1:10">
      <c r="A386" s="1" t="s">
        <v>2356</v>
      </c>
      <c r="B386" s="1" t="s">
        <v>358</v>
      </c>
      <c r="C386" s="1">
        <v>2024</v>
      </c>
      <c r="D386" s="1" t="s">
        <v>2362</v>
      </c>
      <c r="E386" s="1" t="s">
        <v>1903</v>
      </c>
      <c r="F386" s="1" t="s">
        <v>1957</v>
      </c>
      <c r="G386" s="1" t="s">
        <v>1731</v>
      </c>
      <c r="H386" s="1" t="s">
        <v>1853</v>
      </c>
      <c r="I386" s="2">
        <v>7</v>
      </c>
      <c r="J386" s="4">
        <f t="shared" ref="J386:J402" si="6">1/I386</f>
        <v>0.142857142857143</v>
      </c>
    </row>
    <row r="387" s="1" customFormat="1" spans="1:10">
      <c r="A387" s="1" t="s">
        <v>2356</v>
      </c>
      <c r="B387" s="1" t="s">
        <v>358</v>
      </c>
      <c r="C387" s="1">
        <v>2024</v>
      </c>
      <c r="D387" s="1" t="s">
        <v>2363</v>
      </c>
      <c r="E387" s="1" t="s">
        <v>1905</v>
      </c>
      <c r="F387" s="1" t="s">
        <v>1957</v>
      </c>
      <c r="G387" s="1" t="s">
        <v>1731</v>
      </c>
      <c r="H387" s="1" t="s">
        <v>1853</v>
      </c>
      <c r="I387" s="2">
        <v>7</v>
      </c>
      <c r="J387" s="4">
        <f t="shared" si="6"/>
        <v>0.142857142857143</v>
      </c>
    </row>
    <row r="388" s="1" customFormat="1" spans="1:10">
      <c r="A388" s="1" t="s">
        <v>2364</v>
      </c>
      <c r="B388" s="1" t="s">
        <v>411</v>
      </c>
      <c r="C388" s="1">
        <v>2024</v>
      </c>
      <c r="D388" s="1" t="s">
        <v>2365</v>
      </c>
      <c r="E388" s="1" t="s">
        <v>1900</v>
      </c>
      <c r="F388" s="1" t="s">
        <v>1957</v>
      </c>
      <c r="G388" s="1" t="s">
        <v>1744</v>
      </c>
      <c r="H388" s="1" t="s">
        <v>1853</v>
      </c>
      <c r="I388" s="2">
        <v>5</v>
      </c>
      <c r="J388" s="4">
        <f t="shared" si="6"/>
        <v>0.2</v>
      </c>
    </row>
    <row r="389" s="1" customFormat="1" spans="1:10">
      <c r="A389" s="1" t="s">
        <v>2364</v>
      </c>
      <c r="B389" s="1" t="s">
        <v>411</v>
      </c>
      <c r="C389" s="1">
        <v>2024</v>
      </c>
      <c r="D389" s="1" t="s">
        <v>2366</v>
      </c>
      <c r="E389" s="1" t="s">
        <v>1903</v>
      </c>
      <c r="F389" s="1" t="s">
        <v>1957</v>
      </c>
      <c r="G389" s="1" t="s">
        <v>1744</v>
      </c>
      <c r="H389" s="1" t="s">
        <v>1853</v>
      </c>
      <c r="I389" s="2">
        <v>5</v>
      </c>
      <c r="J389" s="4">
        <f t="shared" si="6"/>
        <v>0.2</v>
      </c>
    </row>
    <row r="390" s="1" customFormat="1" spans="1:10">
      <c r="A390" s="1" t="s">
        <v>2364</v>
      </c>
      <c r="B390" s="1" t="s">
        <v>411</v>
      </c>
      <c r="C390" s="1">
        <v>2024</v>
      </c>
      <c r="D390" s="1" t="s">
        <v>2367</v>
      </c>
      <c r="E390" s="1" t="s">
        <v>1903</v>
      </c>
      <c r="F390" s="1" t="s">
        <v>1957</v>
      </c>
      <c r="G390" s="1" t="s">
        <v>1744</v>
      </c>
      <c r="H390" s="1" t="s">
        <v>1853</v>
      </c>
      <c r="I390" s="2">
        <v>5</v>
      </c>
      <c r="J390" s="4">
        <f t="shared" si="6"/>
        <v>0.2</v>
      </c>
    </row>
    <row r="391" s="1" customFormat="1" spans="1:10">
      <c r="A391" s="1" t="s">
        <v>2364</v>
      </c>
      <c r="B391" s="1" t="s">
        <v>411</v>
      </c>
      <c r="C391" s="1">
        <v>2024</v>
      </c>
      <c r="D391" s="1" t="s">
        <v>2368</v>
      </c>
      <c r="E391" s="1" t="s">
        <v>1903</v>
      </c>
      <c r="F391" s="1" t="s">
        <v>1957</v>
      </c>
      <c r="G391" s="1" t="s">
        <v>1744</v>
      </c>
      <c r="H391" s="1" t="s">
        <v>1853</v>
      </c>
      <c r="I391" s="2">
        <v>5</v>
      </c>
      <c r="J391" s="4">
        <f t="shared" si="6"/>
        <v>0.2</v>
      </c>
    </row>
    <row r="392" s="1" customFormat="1" spans="1:10">
      <c r="A392" s="1" t="s">
        <v>2364</v>
      </c>
      <c r="B392" s="1" t="s">
        <v>411</v>
      </c>
      <c r="C392" s="1">
        <v>2024</v>
      </c>
      <c r="D392" s="1" t="s">
        <v>2369</v>
      </c>
      <c r="E392" s="1" t="s">
        <v>1905</v>
      </c>
      <c r="F392" s="1" t="s">
        <v>1957</v>
      </c>
      <c r="G392" s="1" t="s">
        <v>1744</v>
      </c>
      <c r="H392" s="1" t="s">
        <v>1853</v>
      </c>
      <c r="I392" s="2">
        <v>5</v>
      </c>
      <c r="J392" s="4">
        <f t="shared" si="6"/>
        <v>0.2</v>
      </c>
    </row>
    <row r="393" s="1" customFormat="1" spans="1:10">
      <c r="A393" s="1" t="s">
        <v>2370</v>
      </c>
      <c r="B393" s="1" t="s">
        <v>93</v>
      </c>
      <c r="C393" s="1">
        <v>2024</v>
      </c>
      <c r="D393" s="1" t="s">
        <v>2371</v>
      </c>
      <c r="E393" s="1" t="s">
        <v>1900</v>
      </c>
      <c r="F393" s="1" t="s">
        <v>2372</v>
      </c>
      <c r="G393" s="1" t="s">
        <v>1726</v>
      </c>
      <c r="H393" s="1" t="s">
        <v>1859</v>
      </c>
      <c r="I393" s="2">
        <v>1</v>
      </c>
      <c r="J393" s="4">
        <f t="shared" si="6"/>
        <v>1</v>
      </c>
    </row>
    <row r="394" s="1" customFormat="1" spans="1:10">
      <c r="A394" s="1" t="s">
        <v>2373</v>
      </c>
      <c r="B394" s="1" t="s">
        <v>352</v>
      </c>
      <c r="C394" s="1">
        <v>2023</v>
      </c>
      <c r="D394" s="1" t="s">
        <v>2374</v>
      </c>
      <c r="E394" s="1" t="s">
        <v>1900</v>
      </c>
      <c r="F394" s="1" t="s">
        <v>1787</v>
      </c>
      <c r="G394" s="1" t="s">
        <v>1787</v>
      </c>
      <c r="H394" s="1" t="s">
        <v>1855</v>
      </c>
      <c r="I394" s="2">
        <v>4</v>
      </c>
      <c r="J394" s="4">
        <f t="shared" si="6"/>
        <v>0.25</v>
      </c>
    </row>
    <row r="395" s="1" customFormat="1" spans="1:10">
      <c r="A395" s="1" t="s">
        <v>2373</v>
      </c>
      <c r="B395" s="1" t="s">
        <v>352</v>
      </c>
      <c r="C395" s="1">
        <v>2023</v>
      </c>
      <c r="D395" s="1" t="s">
        <v>2375</v>
      </c>
      <c r="E395" s="1" t="s">
        <v>1903</v>
      </c>
      <c r="F395" s="1" t="s">
        <v>1787</v>
      </c>
      <c r="G395" s="1" t="s">
        <v>1787</v>
      </c>
      <c r="H395" s="1" t="s">
        <v>1855</v>
      </c>
      <c r="I395" s="2">
        <v>4</v>
      </c>
      <c r="J395" s="4">
        <f t="shared" si="6"/>
        <v>0.25</v>
      </c>
    </row>
    <row r="396" s="1" customFormat="1" spans="1:10">
      <c r="A396" s="1" t="s">
        <v>2373</v>
      </c>
      <c r="B396" s="1" t="s">
        <v>352</v>
      </c>
      <c r="C396" s="1">
        <v>2023</v>
      </c>
      <c r="D396" s="1" t="s">
        <v>2376</v>
      </c>
      <c r="E396" s="1" t="s">
        <v>1903</v>
      </c>
      <c r="F396" s="1" t="s">
        <v>1837</v>
      </c>
      <c r="G396" s="1" t="s">
        <v>1837</v>
      </c>
      <c r="H396" s="1" t="s">
        <v>1866</v>
      </c>
      <c r="I396" s="2">
        <v>4</v>
      </c>
      <c r="J396" s="4">
        <f t="shared" si="6"/>
        <v>0.25</v>
      </c>
    </row>
    <row r="397" s="1" customFormat="1" spans="1:10">
      <c r="A397" s="1" t="s">
        <v>2373</v>
      </c>
      <c r="B397" s="1" t="s">
        <v>352</v>
      </c>
      <c r="C397" s="1">
        <v>2023</v>
      </c>
      <c r="D397" s="1" t="s">
        <v>2377</v>
      </c>
      <c r="E397" s="1" t="s">
        <v>1905</v>
      </c>
      <c r="F397" s="1" t="s">
        <v>2378</v>
      </c>
      <c r="G397" s="1" t="s">
        <v>1833</v>
      </c>
      <c r="H397" s="1" t="s">
        <v>1855</v>
      </c>
      <c r="I397" s="2">
        <v>4</v>
      </c>
      <c r="J397" s="4">
        <f t="shared" si="6"/>
        <v>0.25</v>
      </c>
    </row>
    <row r="398" s="1" customFormat="1" spans="1:10">
      <c r="A398" s="1" t="s">
        <v>2379</v>
      </c>
      <c r="B398" s="1" t="s">
        <v>348</v>
      </c>
      <c r="C398" s="1">
        <v>2024</v>
      </c>
      <c r="D398" s="1" t="s">
        <v>2380</v>
      </c>
      <c r="E398" s="1" t="s">
        <v>1900</v>
      </c>
      <c r="F398" s="1" t="s">
        <v>1713</v>
      </c>
      <c r="G398" s="1" t="s">
        <v>1713</v>
      </c>
      <c r="H398" s="1" t="s">
        <v>1853</v>
      </c>
      <c r="I398" s="2">
        <v>5</v>
      </c>
      <c r="J398" s="4">
        <f t="shared" si="6"/>
        <v>0.2</v>
      </c>
    </row>
    <row r="399" s="1" customFormat="1" spans="1:10">
      <c r="A399" s="1" t="s">
        <v>2379</v>
      </c>
      <c r="B399" s="1" t="s">
        <v>348</v>
      </c>
      <c r="C399" s="1">
        <v>2024</v>
      </c>
      <c r="D399" s="1" t="s">
        <v>2381</v>
      </c>
      <c r="E399" s="1" t="s">
        <v>1903</v>
      </c>
      <c r="F399" s="1" t="s">
        <v>1713</v>
      </c>
      <c r="G399" s="1" t="s">
        <v>1713</v>
      </c>
      <c r="H399" s="1" t="s">
        <v>1853</v>
      </c>
      <c r="I399" s="2">
        <v>5</v>
      </c>
      <c r="J399" s="4">
        <f t="shared" si="6"/>
        <v>0.2</v>
      </c>
    </row>
    <row r="400" s="1" customFormat="1" spans="1:10">
      <c r="A400" s="1" t="s">
        <v>2379</v>
      </c>
      <c r="B400" s="1" t="s">
        <v>348</v>
      </c>
      <c r="C400" s="1">
        <v>2024</v>
      </c>
      <c r="D400" s="1" t="s">
        <v>2382</v>
      </c>
      <c r="E400" s="1" t="s">
        <v>1903</v>
      </c>
      <c r="F400" s="1" t="s">
        <v>1953</v>
      </c>
      <c r="G400" s="1" t="s">
        <v>1749</v>
      </c>
      <c r="H400" s="1" t="s">
        <v>1853</v>
      </c>
      <c r="I400" s="2">
        <v>5</v>
      </c>
      <c r="J400" s="4">
        <f t="shared" si="6"/>
        <v>0.2</v>
      </c>
    </row>
    <row r="401" s="1" customFormat="1" spans="1:10">
      <c r="A401" s="1" t="s">
        <v>2379</v>
      </c>
      <c r="B401" s="1" t="s">
        <v>348</v>
      </c>
      <c r="C401" s="1">
        <v>2024</v>
      </c>
      <c r="D401" s="1" t="s">
        <v>2383</v>
      </c>
      <c r="E401" s="1" t="s">
        <v>1903</v>
      </c>
      <c r="F401" s="1" t="s">
        <v>1713</v>
      </c>
      <c r="G401" s="1" t="s">
        <v>1713</v>
      </c>
      <c r="H401" s="1" t="s">
        <v>1853</v>
      </c>
      <c r="I401" s="2">
        <v>5</v>
      </c>
      <c r="J401" s="4">
        <f t="shared" si="6"/>
        <v>0.2</v>
      </c>
    </row>
    <row r="402" s="1" customFormat="1" spans="1:10">
      <c r="A402" s="1" t="s">
        <v>2379</v>
      </c>
      <c r="B402" s="1" t="s">
        <v>348</v>
      </c>
      <c r="C402" s="1">
        <v>2024</v>
      </c>
      <c r="D402" s="1" t="s">
        <v>2258</v>
      </c>
      <c r="E402" s="1" t="s">
        <v>1905</v>
      </c>
      <c r="F402" s="1" t="s">
        <v>1713</v>
      </c>
      <c r="G402" s="1" t="s">
        <v>1713</v>
      </c>
      <c r="H402" s="1" t="s">
        <v>1853</v>
      </c>
      <c r="I402" s="2">
        <v>5</v>
      </c>
      <c r="J402" s="4">
        <f t="shared" si="6"/>
        <v>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19</vt:i4>
      </vt:variant>
    </vt:vector>
  </HeadingPairs>
  <TitlesOfParts>
    <vt:vector size="19" baseType="lpstr">
      <vt:lpstr>all</vt:lpstr>
      <vt:lpstr>candidates</vt:lpstr>
      <vt:lpstr>ordering (selected papers)</vt:lpstr>
      <vt:lpstr>item type</vt:lpstr>
      <vt:lpstr>publication year</vt:lpstr>
      <vt:lpstr>publisher</vt:lpstr>
      <vt:lpstr>source</vt:lpstr>
      <vt:lpstr>domain-type</vt:lpstr>
      <vt:lpstr>topic</vt:lpstr>
      <vt:lpstr>technology</vt:lpstr>
      <vt:lpstr>score</vt:lpstr>
      <vt:lpstr>evaluation</vt:lpstr>
      <vt:lpstr>authors</vt:lpstr>
      <vt:lpstr>topic-publication year</vt:lpstr>
      <vt:lpstr>topic trends</vt:lpstr>
      <vt:lpstr>venue</vt:lpstr>
      <vt:lpstr>Institution-Score</vt:lpstr>
      <vt:lpstr>Country-Score</vt:lpstr>
      <vt:lpstr>All Author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赵中培</dc:creator>
  <cp:lastModifiedBy>xiaozhao</cp:lastModifiedBy>
  <dcterms:created xsi:type="dcterms:W3CDTF">2025-01-26T07:12:00Z</dcterms:created>
  <dcterms:modified xsi:type="dcterms:W3CDTF">2026-01-08T15:25:31Z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270D6B01213F4DD4ADE32164DD2ECE9F_11</vt:lpwstr>
  </property>
  <property fmtid="{D5CDD505-2E9C-101B-9397-08002B2CF9AE}" pid="3" name="KSOProductBuildVer">
    <vt:lpwstr>2052-12.1.0.24034</vt:lpwstr>
  </property>
  <property fmtid="{D5CDD505-2E9C-101B-9397-08002B2CF9AE}" pid="4" name="CalculationRule">
    <vt:i4>0</vt:i4>
  </property>
</Properties>
</file>